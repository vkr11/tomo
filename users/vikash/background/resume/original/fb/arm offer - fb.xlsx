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<sst xmlns="http://schemas.openxmlformats.org/spreadsheetml/2006/main" count="6" uniqueCount="6">
  <si>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Base Pay</t>
  </si>
  <si>
    <t>Bonus</t>
  </si>
  <si>
    <t>Partner Bonus</t>
  </si>
  <si>
    <t>Flex Pot Bonus</t>
  </si>
  <si>
    <t>401K Match</t>
  </si>
  <si>
    <t>Launch award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</si>
</sst>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>
        <f>sum(B2:B8)</f>
        <v>318.9</v>
      </c>
    </row>
    <row r="2">
      <c r="B2" s="1">
        <v>194.0</v>
      </c>
      <c r="D2" s="1" t="s">
        <v>0</v>
      </c>
    </row>
    <row r="3">
      <c r="B3">
        <f>B2*C3</f>
        <v>38.8</v>
      </c>
      <c r="C3" s="2">
        <v>0.2</v>
      </c>
      <c r="D3" s="1" t="s">
        <v>1</v>
      </c>
    </row>
    <row r="4">
      <c r="B4" s="1">
        <f>B2*C4</f>
        <v>77.6</v>
      </c>
      <c r="C4" s="2">
        <v>0.4</v>
      </c>
      <c r="D4" s="1" t="s">
        <v>2</v>
      </c>
    </row>
    <row r="5">
      <c r="B5" s="1">
        <v>8.5</v>
      </c>
      <c r="D5" s="1" t="s">
        <v>3</v>
      </c>
    </row>
    <row r="6">
      <c r="C6" s="2">
        <v>0.06</v>
      </c>
      <c r="D6" s="1" t="s">
        <v>4</v>
      </c>
    </row>
    <row r="8">
      <c r="C8" s="1">
        <v>96.5</v>
      </c>
      <c r="D8" s="1" t="s">
        <v>5</v>
      </c>
    </row>
  </sheetData>
  <drawing r:id="rId1"/>
</worksheet>
</file>