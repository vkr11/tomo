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CTIONS" sheetId="1" r:id="rId4"/>
    <sheet state="visible" name="MBA Intern" sheetId="2" r:id="rId5"/>
    <sheet state="visible" name="University Intern" sheetId="3" r:id="rId6"/>
    <sheet state="visible" name="University Full-Time (APM)" sheetId="4" r:id="rId7"/>
    <sheet state="visible" name="MBA Full-Time" sheetId="5" r:id="rId8"/>
    <sheet state="visible" name="Experienced" sheetId="6" r:id="rId9"/>
  </sheets>
  <definedNames>
    <definedName hidden="1" localSheetId="1" name="_xlnm._FilterDatabase">'MBA Intern'!$A$1:$AB$16</definedName>
    <definedName hidden="1" localSheetId="2" name="_xlnm._FilterDatabase">'University Intern'!$A$1:$AA$22</definedName>
    <definedName hidden="1" localSheetId="3" name="_xlnm._FilterDatabase">'University Full-Time (APM)'!$A$1:$F$31</definedName>
    <definedName hidden="1" localSheetId="4" name="_xlnm._FilterDatabase">'MBA Full-Time'!$A$1:$AB$10</definedName>
    <definedName hidden="1" localSheetId="5" name="_xlnm._FilterDatabase">Experienced!$A$1:$F$252</definedName>
    <definedName hidden="1" localSheetId="5" name="Z_FD473D5F_F83B_4249_B2D8_59291FC71375_.wvu.FilterData">Experienced!$C$1:$C$1007</definedName>
    <definedName hidden="1" localSheetId="5" name="Z_D3BFD17A_BAF7_4CF8_B6D6_E496528C2A74_.wvu.FilterData">Experienced!$A$1:$F$258</definedName>
    <definedName hidden="1" localSheetId="5" name="Z_2E44F463_12BB_4354_BBD1_C134BC689D04_.wvu.FilterData">Experienced!$A$1:$F$252</definedName>
    <definedName hidden="1" localSheetId="5" name="Z_34C084B8_0CFF_419C_9A91_E91A33EBA9DD_.wvu.FilterData">Experienced!$A$1:$F$252</definedName>
    <definedName hidden="1" localSheetId="5" name="Z_016D0142_8AB2_4ABD_892E_040B4397802A_.wvu.FilterData">Experienced!$A$1:$AC$252</definedName>
  </definedNames>
  <calcPr/>
  <customWorkbookViews>
    <customWorkbookView activeSheetId="0" maximized="1" windowHeight="0" windowWidth="0" guid="{34C084B8-0CFF-419C-9A91-E91A33EBA9DD}" name="Filter 4"/>
    <customWorkbookView activeSheetId="0" maximized="1" windowHeight="0" windowWidth="0" guid="{016D0142-8AB2-4ABD-892E-040B4397802A}" name="Filter 5"/>
    <customWorkbookView activeSheetId="0" maximized="1" windowHeight="0" windowWidth="0" guid="{2E44F463-12BB-4354-BBD1-C134BC689D04}" name="Filter 2"/>
    <customWorkbookView activeSheetId="0" maximized="1" windowHeight="0" windowWidth="0" guid="{FD473D5F-F83B-4249-B2D8-59291FC71375}" name="Filter 3"/>
    <customWorkbookView activeSheetId="0" maximized="1" windowHeight="0" windowWidth="0" guid="{D3BFD17A-BAF7-4CF8-B6D6-E496528C2A74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tc={278951c4-9e60-41a5-a402-14b5e9d5f21c}</author>
  </authors>
  <commentList>
    <comment authorId="0" xr:uid="{278951c4-9e60-41a5-a402-14b5e9d5f21c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g.co/apm
Reply:
	Marked as resolved
Reply:
	Re-opened
Reply:
	Marked as resolved
Reply:
	Many of the job postings have been closed. We need to remove the clutter from the listings to make the sheet more relevant and usable.
Re-opened
</t>
      </text>
    </comment>
  </commentList>
</comments>
</file>

<file path=xl/sharedStrings.xml><?xml version="1.0" encoding="utf-8"?>
<sst xmlns="http://schemas.openxmlformats.org/spreadsheetml/2006/main" count="1362" uniqueCount="805">
  <si>
    <t>PM JOBS</t>
  </si>
  <si>
    <t>bit.ly/pm-jobs</t>
  </si>
  <si>
    <t xml:space="preserve">READ THIS SHEET FIRST BEFORE CLICKING ON THE TABS. </t>
  </si>
  <si>
    <r>
      <rPr>
        <rFont val="Arial"/>
        <b/>
        <color rgb="FF38761D"/>
      </rPr>
      <t>SEE JOB LISTINGS:</t>
    </r>
    <r>
      <rPr>
        <rFont val="Arial"/>
        <b/>
      </rPr>
      <t xml:space="preserve"> </t>
    </r>
    <r>
      <rPr>
        <rFont val="Arial"/>
        <b val="0"/>
      </rPr>
      <t xml:space="preserve">This a place to find PM job leads. Here are the categories:
</t>
    </r>
    <r>
      <rPr>
        <rFont val="Arial"/>
        <b/>
      </rPr>
      <t>- University</t>
    </r>
    <r>
      <rPr>
        <rFont val="Arial"/>
        <b val="0"/>
      </rPr>
      <t>: Full-Time and Intern</t>
    </r>
    <r>
      <rPr>
        <rFont val="Arial"/>
        <b/>
      </rPr>
      <t xml:space="preserve">
- MBA</t>
    </r>
    <r>
      <rPr>
        <rFont val="Arial"/>
        <b val="0"/>
      </rPr>
      <t xml:space="preserve">: Full-Time and Intern
</t>
    </r>
    <r>
      <rPr>
        <rFont val="Arial"/>
        <b/>
      </rPr>
      <t>- Experienced</t>
    </r>
  </si>
  <si>
    <r>
      <rPr>
        <rFont val="Arial"/>
        <b/>
        <color rgb="FF38761D"/>
      </rPr>
      <t>ADD JOB LISTINGS:</t>
    </r>
    <r>
      <rPr>
        <rFont val="Arial"/>
        <b/>
        <color rgb="FF000000"/>
      </rPr>
      <t xml:space="preserve"> </t>
    </r>
    <r>
      <rPr>
        <rFont val="Arial"/>
        <b val="0"/>
        <color rgb="FF000000"/>
      </rPr>
      <t>We're a community, and we're here to help each other. If you find a PM opportunity that you think someone else would benefit from, add it to the sheet. Follow the columns and provide as much detail as possible. Keep your entries tidy.</t>
    </r>
  </si>
  <si>
    <t>Other Relevant Resources</t>
  </si>
  <si>
    <t>Company</t>
  </si>
  <si>
    <t>Title</t>
  </si>
  <si>
    <t>Location</t>
  </si>
  <si>
    <t>Link</t>
  </si>
  <si>
    <t>Date Added</t>
  </si>
  <si>
    <t>Notes</t>
  </si>
  <si>
    <t>Duolingo</t>
  </si>
  <si>
    <t>PM MBA Intern</t>
  </si>
  <si>
    <t>Pittsburgh</t>
  </si>
  <si>
    <t>https://hire.withgoogle.com/public/jobs/duolingocom/view/P_AAAAAADAAGeO-JxIuHUY6H</t>
  </si>
  <si>
    <t>Walmart</t>
  </si>
  <si>
    <t>MBA Intern</t>
  </si>
  <si>
    <t>San Bruno</t>
  </si>
  <si>
    <t>https://www.linkedin.com/jobs/view/2019-mba-summer-intern-product-manager-search-product-at-walmart-ecommerce-981772210/?utm_campaign=google_jobs_apply&amp;utm_source=google_jobs_apply&amp;utm_medium=organic</t>
  </si>
  <si>
    <t>Caremerge</t>
  </si>
  <si>
    <t>PM Intern</t>
  </si>
  <si>
    <t>Chicago</t>
  </si>
  <si>
    <t>https://www.linkedin.com/jobs/view/916810161</t>
  </si>
  <si>
    <t>Splunk</t>
  </si>
  <si>
    <t>Product Manager Intern - Analytics</t>
  </si>
  <si>
    <t>San Francisco</t>
  </si>
  <si>
    <t>https://www.linkedin.com/jobs/view/881214432</t>
  </si>
  <si>
    <t>Adobe</t>
  </si>
  <si>
    <t>Product Strategist Intern</t>
  </si>
  <si>
    <t>Seattle</t>
  </si>
  <si>
    <t>Varsity Tutors</t>
  </si>
  <si>
    <t>MBA/Masters Internship Program</t>
  </si>
  <si>
    <t>https://www.linkedin.com/jobs/view/mba-masters-internship-program-at-varsity-tutors-858886463</t>
  </si>
  <si>
    <t>Microsoft</t>
  </si>
  <si>
    <t>Product Marketing Manager (PMM)</t>
  </si>
  <si>
    <t>Various (mainly Redmond)</t>
  </si>
  <si>
    <t xml:space="preserve">https://careers.microsoft.com/i/us/en/job/489295/Internship-opportunities-in-Marketing-for-MBA-students </t>
  </si>
  <si>
    <t>PayPal</t>
  </si>
  <si>
    <t>https://www.glassdoor.com/job-listing/mba-intern-product-management-skycatch-JV_IC1147401_KO0,29_KE30,38.htm</t>
  </si>
  <si>
    <t>Skycatch</t>
  </si>
  <si>
    <t>Expired</t>
  </si>
  <si>
    <t>T-Mobile</t>
  </si>
  <si>
    <t>Tech MBA Intern</t>
  </si>
  <si>
    <t>Bellevue and other cities</t>
  </si>
  <si>
    <t>https://www.themuse.com/jobs/tmobile/2019-technology-internship-mastersmba</t>
  </si>
  <si>
    <t>Twilio</t>
  </si>
  <si>
    <t>https://www.linkedin.com/jobs/view/product-manager-intern-summer-2019-at-twilio-inc-864974421</t>
  </si>
  <si>
    <t>Verizon Wireless</t>
  </si>
  <si>
    <t>Sunnyvale</t>
  </si>
  <si>
    <t>https://www.linkedin.com/jobs/view/product-management-mba-intern-at-verizon-wireless-815109384</t>
  </si>
  <si>
    <t>Visa</t>
  </si>
  <si>
    <t>Foster City</t>
  </si>
  <si>
    <t>https://www.indeed.com/viewjob?jk=2828e52bac9d6ffb&amp;tk=1cncv5t0lbup09hl&amp;from=serp&amp;vjs=3</t>
  </si>
  <si>
    <t>https://www.linkedin.com/jobs/view/walmart-ecommerce-mba-intern-at-walmart-839874699</t>
  </si>
  <si>
    <t>Zendesk</t>
  </si>
  <si>
    <t>https://jobs.lever.co/zendesk/25d220f1-9872-41e1-9c35-3d3bf76a805d</t>
  </si>
  <si>
    <t>Mastercard Data &amp; Services</t>
  </si>
  <si>
    <t>APM Intern</t>
  </si>
  <si>
    <t>Arlington, VA</t>
  </si>
  <si>
    <t>https://mastercard.wd1.myworkdayjobs.com/Campus/1/refreshFacet/318c8bb6f553100021d223d9780d30be</t>
  </si>
  <si>
    <t>Asana</t>
  </si>
  <si>
    <t>Product Manager Intern</t>
  </si>
  <si>
    <t>https://asana.com/jobs/apply/1395882/ur-product-manager-intern</t>
  </si>
  <si>
    <t>Pendo</t>
  </si>
  <si>
    <t>Raleigh, NC</t>
  </si>
  <si>
    <t>https://boards.greenhouse.io/pendo/jobs/4136451002</t>
  </si>
  <si>
    <t>Samsara</t>
  </si>
  <si>
    <t>Product Manager - Intern</t>
  </si>
  <si>
    <t>https://boards.greenhouse.io/samsara/jobs/998355</t>
  </si>
  <si>
    <t>Asurion</t>
  </si>
  <si>
    <t>https://www.linkedin.com/jobs/view/product-manager-intern-at-asurion-887476169</t>
  </si>
  <si>
    <t>Zillow</t>
  </si>
  <si>
    <t>Product Manager, Search - Intern</t>
  </si>
  <si>
    <t>https://www.linkedin.com/jobs/view/941586772</t>
  </si>
  <si>
    <t>Roblox</t>
  </si>
  <si>
    <t>Product Management Intern</t>
  </si>
  <si>
    <t>https://corp.roblox.com/jobs/?gh_jid=1290147</t>
  </si>
  <si>
    <t>Product Management / Data Analyst Intern</t>
  </si>
  <si>
    <t>San Mateo</t>
  </si>
  <si>
    <t>https://www.startwire.com/jobs/san-francisco-ca/product-manager-intern-summer-50689875</t>
  </si>
  <si>
    <t>Hulu</t>
  </si>
  <si>
    <t>Santa Monica or Seattle</t>
  </si>
  <si>
    <t>https://www.hulu.com/jobs/positions/otws8fwj/apply</t>
  </si>
  <si>
    <t>BlackBerry</t>
  </si>
  <si>
    <t>Waterloo, ON, Canada</t>
  </si>
  <si>
    <t>https://ca.blackberry.com/company/careers/students-and-new-grads</t>
  </si>
  <si>
    <t>Both summer positions filled</t>
  </si>
  <si>
    <t>Amazon</t>
  </si>
  <si>
    <t>Luxembourg</t>
  </si>
  <si>
    <t>https://lu.linkedin.com/jobs/view/product-management-intern-at-amazon-837076407</t>
  </si>
  <si>
    <t>Cisco Meraki</t>
  </si>
  <si>
    <t>Various</t>
  </si>
  <si>
    <t>https://www.linkedin.com/jobs/view/product-management-intern-at-cisco-meraki-824358348</t>
  </si>
  <si>
    <t>Expedia</t>
  </si>
  <si>
    <t xml:space="preserve">PM Intern (Undergrad, Masters) </t>
  </si>
  <si>
    <t>Bellevue</t>
  </si>
  <si>
    <t>https://www.linkedin.com/jobs/view/internship-2019-multiple-u-s-locations-product-management-at-expedia-group-859133975</t>
  </si>
  <si>
    <t>LinkedIn</t>
  </si>
  <si>
    <t>https://www.linkedin.com/jobs/view/associate-product-manager-intern-at-linkedin-840859804</t>
  </si>
  <si>
    <t>Not accepting applications right now</t>
  </si>
  <si>
    <t>https://careers.microsoft.com/us/en/usuniversityinternship</t>
  </si>
  <si>
    <t>https://careers.microsoft.com/i/us/en/job/489152/Internship-opportunities-in-Marketing-for-students</t>
  </si>
  <si>
    <t>Oath</t>
  </si>
  <si>
    <t>APM Intern (Undergrad, Masters, PhD)</t>
  </si>
  <si>
    <t>https://www.linkedin.com/jobs/view/associate-product-manager-intern-at-oath-862483518</t>
  </si>
  <si>
    <t>Salesforce</t>
  </si>
  <si>
    <t>http://bit.ly/2MwL7lc</t>
  </si>
  <si>
    <t>Page does not exist</t>
  </si>
  <si>
    <t>Tableau</t>
  </si>
  <si>
    <t>PM Intern (Undergrad, Masters, PhD)</t>
  </si>
  <si>
    <t>Sunnyvale, Seattle</t>
  </si>
  <si>
    <t>https://www.linkedin.com/jobs/view/product-management-intern-at-tableau-software-854234523</t>
  </si>
  <si>
    <t>Thomson Reuters</t>
  </si>
  <si>
    <t>San Jose</t>
  </si>
  <si>
    <t>https://www.linkedin.com/jobs/view/associate-product-manager-at-thomson-reuters-839892792</t>
  </si>
  <si>
    <t>Yelp</t>
  </si>
  <si>
    <t>PM Intern (Undergrad)</t>
  </si>
  <si>
    <t xml:space="preserve">https://jobs.lever.co/yelp/8ac4fd83-36be-4018-90a9-ca565a5c9196 </t>
  </si>
  <si>
    <t>@</t>
  </si>
  <si>
    <t>MasterCard Data &amp; Services</t>
  </si>
  <si>
    <t>APM</t>
  </si>
  <si>
    <t xml:space="preserve">Asana </t>
  </si>
  <si>
    <t>Associate Product Manager - New Grads</t>
  </si>
  <si>
    <t>https://asana.com/jobs/apply/1326087/ur-associate-product-manager-new-grads</t>
  </si>
  <si>
    <t>https://careers.microsoft.com/i/us/en/job/489150/Full-time-opportunities-in-Marketing-for-students-recent-graduates</t>
  </si>
  <si>
    <t>Pandora</t>
  </si>
  <si>
    <t>APM, Ads</t>
  </si>
  <si>
    <t>Oakland</t>
  </si>
  <si>
    <t>https://www.linkedin.com/jobs/view/associate-product-manager-ads-at-pandora-970913263</t>
  </si>
  <si>
    <t>Zynga</t>
  </si>
  <si>
    <t>RPM</t>
  </si>
  <si>
    <t>https://www.zynga.com/careers/university</t>
  </si>
  <si>
    <t>for undergraduates</t>
  </si>
  <si>
    <t>Electronic Arts</t>
  </si>
  <si>
    <t>Associate Game Product Manager</t>
  </si>
  <si>
    <t>https://www.linkedin.com/jobs/view/associate-game-product-manager-at-electronic-arts-923827501/</t>
  </si>
  <si>
    <t>not accepting</t>
  </si>
  <si>
    <t>Workday</t>
  </si>
  <si>
    <t>Pleasanton, CA</t>
  </si>
  <si>
    <t>https://www.startwire.com/jobs/pleasanton-ca/associate-product-manager-51264891</t>
  </si>
  <si>
    <t xml:space="preserve">Intuit </t>
  </si>
  <si>
    <t>Mountain View</t>
  </si>
  <si>
    <t>currently not open; https://www.intuitrpm.com/</t>
  </si>
  <si>
    <t>Kleiner Perkins</t>
  </si>
  <si>
    <t>Product Fellows</t>
  </si>
  <si>
    <t>currently not open; http://fellows.kleinerperkins.com/</t>
  </si>
  <si>
    <t xml:space="preserve">Adobe </t>
  </si>
  <si>
    <t>Classy.org</t>
  </si>
  <si>
    <t>San Diego</t>
  </si>
  <si>
    <t>currently not open</t>
  </si>
  <si>
    <t xml:space="preserve">IBM </t>
  </si>
  <si>
    <t xml:space="preserve">Redfin </t>
  </si>
  <si>
    <t>https://redfin.wd1.myworkdayjobs.com/redfin_careers/job/WA---Seattle/Product-Manager-I---Seattle---San-Francisco_18452-1</t>
  </si>
  <si>
    <t xml:space="preserve">Square </t>
  </si>
  <si>
    <t>https://asana.com/jobs/apply/1326087/associate-product-manager--new-grad-</t>
  </si>
  <si>
    <t>Atlassian</t>
  </si>
  <si>
    <t>Closed</t>
  </si>
  <si>
    <t>Dropbox</t>
  </si>
  <si>
    <t>San Francisco, Seattle</t>
  </si>
  <si>
    <t xml:space="preserve">Closed </t>
  </si>
  <si>
    <t>Indeed</t>
  </si>
  <si>
    <t>Austin</t>
  </si>
  <si>
    <t>IXL Learning</t>
  </si>
  <si>
    <t>https://www.ixl.com/company/jobs?gh_jid=4052296002</t>
  </si>
  <si>
    <t>https://salesforce.wd1.myworkdayjobs.com/en-US/External_Career_Site/job/California---San-Francisco/Associate-Product-Manager--APM-_JR22717</t>
  </si>
  <si>
    <t>Twitter</t>
  </si>
  <si>
    <t>https://careers.linkedin.com/apm</t>
  </si>
  <si>
    <t>Lyft</t>
  </si>
  <si>
    <t>https://oath.wd5.myworkdayjobs.com/en-US/careers/job/US---Sunnyvale/Associate-Product-Manager_JR0005324</t>
  </si>
  <si>
    <t>Coupa</t>
  </si>
  <si>
    <t>Facebook</t>
  </si>
  <si>
    <t xml:space="preserve">Closed for applications </t>
  </si>
  <si>
    <t>Google</t>
  </si>
  <si>
    <t>https://careers.google.com/jobs/results/73278368214065862/</t>
  </si>
  <si>
    <t>g.co/apm</t>
  </si>
  <si>
    <t>Uber</t>
  </si>
  <si>
    <t>https://www.uberapms.com/</t>
  </si>
  <si>
    <t>Foster City, CA, USA</t>
  </si>
  <si>
    <t>https://jobs.smartrecruiters.com/Visa/743999685341163-associate-product-manager-multiple-locations-?trid=d131e4ae-a1f9-4746-a100-6b5cd183a8b5</t>
  </si>
  <si>
    <t>Application Deadline</t>
  </si>
  <si>
    <t>Sr. Product Manager</t>
  </si>
  <si>
    <t>https://www.amazon.jobs/en/teams/mba-full-time</t>
  </si>
  <si>
    <t>Product Manager, MBA University Graduate</t>
  </si>
  <si>
    <t>https://careers.google.com/jobs#!t=jo&amp;jid=/company/product-manager-mba-university-graduate-1600-amphitheatre-pkwy-mountain-view-ca-4224650433</t>
  </si>
  <si>
    <t>Product Manager MBA</t>
  </si>
  <si>
    <t>https://sjobs.brassring.com/TGnewUI/Search/home/HomeWithPreLoad?PageType=JobDetails&amp;noback=0&amp;partnerid=25222&amp;siteid=5022&amp;jobid=1226603</t>
  </si>
  <si>
    <t>Product Manager - MBA Graduate</t>
  </si>
  <si>
    <t>https://jobs.lever.co/yelp/407a0925-fe29-4e17-9fbb-8c4e4ed6edda</t>
  </si>
  <si>
    <t>Box</t>
  </si>
  <si>
    <t>MBA Rotational Leadership Program (2019 Graduates)</t>
  </si>
  <si>
    <t>Redwood City, CA</t>
  </si>
  <si>
    <t>https://boards.greenhouse.io/boxinc/jobs/1298417</t>
  </si>
  <si>
    <t>Product Manager University Grad (2019)</t>
  </si>
  <si>
    <t>San Francisco or Seattle</t>
  </si>
  <si>
    <t>https://www.dropbox.com/jobs/listing/1249174</t>
  </si>
  <si>
    <t>Trip Advisor</t>
  </si>
  <si>
    <t>Product Manager, MBA Rotation Program 2019</t>
  </si>
  <si>
    <t>Needham, MA</t>
  </si>
  <si>
    <t>https://careers.tripadvisor.com/job/TRINUS772/Product-Manager-MBA-Rotation-Program-2019</t>
  </si>
  <si>
    <t>https://careers.microsoft.com/i/us/en/job/489293/Full-time-opportunities-in-Marketing-for-MBA-students-recent-graduates</t>
  </si>
  <si>
    <t>https://hire.withgoogle.com/public/jobs/duolingocom/view/P_AAAAAADAAGeBh5BEEmhZpn</t>
  </si>
  <si>
    <t>SENIOR PRODUCT MANAGER - AD INSIGHTS</t>
  </si>
  <si>
    <t>Santa Monica, CA</t>
  </si>
  <si>
    <t>https://www.hulu.com/jobs/positions/orzqbfwl</t>
  </si>
  <si>
    <t xml:space="preserve">Facebook </t>
  </si>
  <si>
    <t>Manger of PMs</t>
  </si>
  <si>
    <t>Menlo Park, CA</t>
  </si>
  <si>
    <t>https://www.facebook.com/careers/jobs/640454049701978/?hc_location=ufi</t>
  </si>
  <si>
    <t>Director of Product Management</t>
  </si>
  <si>
    <t>https://ea.gr8people.com/index.gp?method=cappportal.showJob&amp;opportunityID=157332&amp;sid=</t>
  </si>
  <si>
    <t>Verizon</t>
  </si>
  <si>
    <t>Technical Product Manager - Cloud Storage Infrastructure</t>
  </si>
  <si>
    <t>NYC and Boston area</t>
  </si>
  <si>
    <t>https://www.verizon.com/about/work/jobs/4173810-technical-product-manager-cloud-storage-infrastructure</t>
  </si>
  <si>
    <t>Spotify</t>
  </si>
  <si>
    <t>Product Manager</t>
  </si>
  <si>
    <t>NYC</t>
  </si>
  <si>
    <t>https://www.spotifyjobs.com/job/product-manager-creator-core-obogafwz/</t>
  </si>
  <si>
    <t>Pro.com</t>
  </si>
  <si>
    <t>Product Manager, Planning &amp; Procurement</t>
  </si>
  <si>
    <t>https://boards.greenhouse.io/procom/jobs/4306788002</t>
  </si>
  <si>
    <t>eBay</t>
  </si>
  <si>
    <t>Senior Product Manager - Growth (f/m/d)</t>
  </si>
  <si>
    <t>Berlin</t>
  </si>
  <si>
    <t>https://www.linkedin.com/jobs/view/1267707471/</t>
  </si>
  <si>
    <t>Noom</t>
  </si>
  <si>
    <t>Growth PM</t>
  </si>
  <si>
    <t>New York, NY</t>
  </si>
  <si>
    <t>https://grnh.se/84bdcffd1</t>
  </si>
  <si>
    <t>https://grnh.se/b67553e51</t>
  </si>
  <si>
    <t>https://grnh.se/10b1cbd91</t>
  </si>
  <si>
    <t>HelloSign (a Dropbox Company)</t>
  </si>
  <si>
    <t>San Francisco, CA</t>
  </si>
  <si>
    <t>https://jobs.lever.co/hellosign/7e2c1e05-6b80-4268-910e-56d67896ae3d</t>
  </si>
  <si>
    <t>Carvana</t>
  </si>
  <si>
    <t>PM</t>
  </si>
  <si>
    <t>Phoenix, AZ</t>
  </si>
  <si>
    <t>https://producthired.com/job/carvana-product-manager/</t>
  </si>
  <si>
    <t>Cisco</t>
  </si>
  <si>
    <t>Sr. PM</t>
  </si>
  <si>
    <t>Ann Arbor, MI</t>
  </si>
  <si>
    <t>https://producthired.com/job/cisco-senior-product-manager/</t>
  </si>
  <si>
    <t>Customer Alliance</t>
  </si>
  <si>
    <t>Head of Product</t>
  </si>
  <si>
    <t xml:space="preserve">Berlin, Germany </t>
  </si>
  <si>
    <t>https://producthired.com/job/customer-alliance-head-of-product/</t>
  </si>
  <si>
    <t>https://producthired.com/job/facebook-product-manager/</t>
  </si>
  <si>
    <t>Product Marketing Manager</t>
  </si>
  <si>
    <t>Mountain View, CA</t>
  </si>
  <si>
    <t>https://producthired.com/job/google-product-marketing-manager/</t>
  </si>
  <si>
    <t>Massdrop</t>
  </si>
  <si>
    <t>https://producthired.com/job/massdrop-senior-product-manager/</t>
  </si>
  <si>
    <t>https://producthired.com/job/twitter-product-manager/</t>
  </si>
  <si>
    <t>Capital One</t>
  </si>
  <si>
    <t>Senior Product Manager</t>
  </si>
  <si>
    <t>Richmond</t>
  </si>
  <si>
    <t>https://producthired.com/job/capitalone-senior-product-manager/</t>
  </si>
  <si>
    <t>Chegg</t>
  </si>
  <si>
    <t>Santa Clara</t>
  </si>
  <si>
    <t>https://producthired.com/job/chegg-product-manager/</t>
  </si>
  <si>
    <t>Ebay</t>
  </si>
  <si>
    <t>https://producthired.com/job/ebay-sr-product-manager/</t>
  </si>
  <si>
    <t>HP</t>
  </si>
  <si>
    <t>Houston</t>
  </si>
  <si>
    <t>https://producthired.com/job/hp-product-manager/</t>
  </si>
  <si>
    <t>https://producthired.com/job/lyft-product-manager-3/</t>
  </si>
  <si>
    <t>Reflektive</t>
  </si>
  <si>
    <t>https://producthired.com/job/reflektive-product-marketing-manager/</t>
  </si>
  <si>
    <t>Zoom</t>
  </si>
  <si>
    <t>https://producthired.com/job/zoomvideocommunications-product-manager/</t>
  </si>
  <si>
    <t>CitrusByte</t>
  </si>
  <si>
    <t>Remote Senior Product Manager</t>
  </si>
  <si>
    <t>Remote</t>
  </si>
  <si>
    <t>https://producthired.com/job/citrusbyte-senior-product-manager-remote/</t>
  </si>
  <si>
    <t>Apple</t>
  </si>
  <si>
    <t>Cupertino, CA</t>
  </si>
  <si>
    <t>https://producthired.com/job/apple-product-manager/</t>
  </si>
  <si>
    <t xml:space="preserve">Dell </t>
  </si>
  <si>
    <t>Product Manager, Support Development</t>
  </si>
  <si>
    <t>Round Rock, TX</t>
  </si>
  <si>
    <t>https://producthired.com/job/dell-product-manager-support-deployment/</t>
  </si>
  <si>
    <t>Instacart</t>
  </si>
  <si>
    <t>https://producthired.com/job/instacart-senior-product-manager/</t>
  </si>
  <si>
    <t>Sago Mini</t>
  </si>
  <si>
    <t>Digital Product Manager</t>
  </si>
  <si>
    <t>Toronto, Canada</t>
  </si>
  <si>
    <t>https://producthired.com/job/sago-mini-digital-product-manager/</t>
  </si>
  <si>
    <t>Snyk</t>
  </si>
  <si>
    <t>Team Product Manager</t>
  </si>
  <si>
    <t>London, UK</t>
  </si>
  <si>
    <t>https://producthired.com/job/snyk-product-manager-team-enterprise/</t>
  </si>
  <si>
    <t>Tripadvisor</t>
  </si>
  <si>
    <t>https://producthired.com/job/product-manager-tripadvisor/</t>
  </si>
  <si>
    <t xml:space="preserve">Twitch </t>
  </si>
  <si>
    <t>Seattle, WA</t>
  </si>
  <si>
    <t>https://producthired.com/job/senior-product-manager-twitch/</t>
  </si>
  <si>
    <t>Wazoku</t>
  </si>
  <si>
    <t>https://producthired.com/job/wazoku-product-manager/</t>
  </si>
  <si>
    <t>Zesty.ai</t>
  </si>
  <si>
    <t>https://producthired.com/job/zesty-sr-product-manager/</t>
  </si>
  <si>
    <t>Dave.com</t>
  </si>
  <si>
    <t>Los Angeles</t>
  </si>
  <si>
    <t>https://producthired.com/job/dave-com-product-manager-growth/</t>
  </si>
  <si>
    <t>Fast Radius</t>
  </si>
  <si>
    <t>Product Leader</t>
  </si>
  <si>
    <t>https://producthired.com/job/fast-radius-product-leader/</t>
  </si>
  <si>
    <t>Football Whispers</t>
  </si>
  <si>
    <t>https://producthired.com/job/football-whispers-product-manager/</t>
  </si>
  <si>
    <t>Goodway Group</t>
  </si>
  <si>
    <t>Technical Product Manager</t>
  </si>
  <si>
    <t>https://producthired.com/job/goodway-group-technical-product-manager/</t>
  </si>
  <si>
    <t>https://producthired.com/job/snyk-product-manager/</t>
  </si>
  <si>
    <t>Hamburg, Germany</t>
  </si>
  <si>
    <t>https://producthired.com/job/yelp-product-manager-2/</t>
  </si>
  <si>
    <t>Austin, TX</t>
  </si>
  <si>
    <t>https://producthired.com/job/adobe-product-manager-security-magento</t>
  </si>
  <si>
    <t>Airbnb</t>
  </si>
  <si>
    <t>https://producthired.com/job/airbnb-product-manager-homes-host</t>
  </si>
  <si>
    <t>Cambia</t>
  </si>
  <si>
    <t>Product Manager, DS/AI</t>
  </si>
  <si>
    <t>Portland, OR</t>
  </si>
  <si>
    <t>https://careers-cambiahealth.icims.com/jobs/25094/product-manager%2c-data-science-%26-ai/job</t>
  </si>
  <si>
    <t>Elsevier</t>
  </si>
  <si>
    <t>Philadelphia, PA</t>
  </si>
  <si>
    <t>https://producthired.com/job/elsevier-senior-product-manager</t>
  </si>
  <si>
    <t>Eventbrite</t>
  </si>
  <si>
    <t>Madrid, Spain</t>
  </si>
  <si>
    <t>https://producthired.com/job/eventbrite-madrid-senior-product-manager</t>
  </si>
  <si>
    <t>Honey</t>
  </si>
  <si>
    <t>Los Angeles, CA</t>
  </si>
  <si>
    <t>https://producthired.com/job/honey-product-manager/</t>
  </si>
  <si>
    <t xml:space="preserve">Nerdwallet </t>
  </si>
  <si>
    <t>https://producthired.com/job/nerdwallet-senior-product-manager</t>
  </si>
  <si>
    <t>NPR</t>
  </si>
  <si>
    <t>Washington, DC</t>
  </si>
  <si>
    <t xml:space="preserve">https://producthired.com/job/npr-product-manager-voice-platforms </t>
  </si>
  <si>
    <t>Bird Eye</t>
  </si>
  <si>
    <t>Palo Alto, CA</t>
  </si>
  <si>
    <t>https://producthired.com/job/bird-eye-director-product-management</t>
  </si>
  <si>
    <t>https://producthired.com/job/dropbox-product-manager</t>
  </si>
  <si>
    <t>Intuit</t>
  </si>
  <si>
    <t>https://producthired.com/job/intuit-director-product-management</t>
  </si>
  <si>
    <t xml:space="preserve">Paypal </t>
  </si>
  <si>
    <t>San Jose, CA</t>
  </si>
  <si>
    <t>https://producthired.com/job/paypal-senior-product-manager-2</t>
  </si>
  <si>
    <t>Pitch</t>
  </si>
  <si>
    <t>Berlin, Germany</t>
  </si>
  <si>
    <t>https://producthired.com/job/pitch-senior-product-manager</t>
  </si>
  <si>
    <t>SAP</t>
  </si>
  <si>
    <t>Principal Product Manager</t>
  </si>
  <si>
    <t>https://producthired.com/job/sap-principal-product-manager</t>
  </si>
  <si>
    <t>Slack</t>
  </si>
  <si>
    <t>https://producthired.com/job/slack-product-manager-2</t>
  </si>
  <si>
    <t>Dallas, TX</t>
  </si>
  <si>
    <t>https://producthired.com/job/cisco-product-manager-2/</t>
  </si>
  <si>
    <t>Hiya</t>
  </si>
  <si>
    <t>Sr. Product Manager - Ads Platform</t>
  </si>
  <si>
    <t>London</t>
  </si>
  <si>
    <t>https://hiya.com/uk/open-positions?p=job%2Fof8k8fwz</t>
  </si>
  <si>
    <t>https://producthired.com/job/paypal-senior-product-manager/</t>
  </si>
  <si>
    <t>Safeway</t>
  </si>
  <si>
    <t>https://producthired.com/job/safeway-senior-product-manager/</t>
  </si>
  <si>
    <t>https://producthired.com/job/slack-product-manager/</t>
  </si>
  <si>
    <t>Eagan, MN</t>
  </si>
  <si>
    <t>https://producthired.com/job/thomsonreuters-product-manager/</t>
  </si>
  <si>
    <t>Skilljar</t>
  </si>
  <si>
    <t>Director, Product</t>
  </si>
  <si>
    <t>https://angel.co/skilljar/jobs/480500-director-product</t>
  </si>
  <si>
    <t>Waypoint</t>
  </si>
  <si>
    <t>Platform Product Manager at Waypoint</t>
  </si>
  <si>
    <t>SF</t>
  </si>
  <si>
    <t>https://angel.co/waypoint-building/jobs/476929-product-manager-data-platform</t>
  </si>
  <si>
    <t>Signal Sciences</t>
  </si>
  <si>
    <t>Product Manager – Agents &amp; Modules</t>
  </si>
  <si>
    <t>Culver City, CA</t>
  </si>
  <si>
    <t>https://www.signalsciences.com/careers/product-manager-agents-modules/</t>
  </si>
  <si>
    <t>Product Manager – Insights</t>
  </si>
  <si>
    <t>https://www.signalsciences.com/careers/product-manager-insights/</t>
  </si>
  <si>
    <t>SignalFx</t>
  </si>
  <si>
    <t>Sr. Product Manager Ecosystem</t>
  </si>
  <si>
    <t>Durham, NC</t>
  </si>
  <si>
    <t>https://jobs.lever.co/signalfx/fd5dcfe3-2f60-4a61-81ef-b500102db1e6</t>
  </si>
  <si>
    <t>Sonder</t>
  </si>
  <si>
    <t>Director of Product, Consumer Experience</t>
  </si>
  <si>
    <t>https://boards.greenhouse.io/sonder/jobs/4141990002</t>
  </si>
  <si>
    <t>Product Management</t>
  </si>
  <si>
    <t>https://boards.greenhouse.io/sonder/jobs/4131944002</t>
  </si>
  <si>
    <t>Synack</t>
  </si>
  <si>
    <t>https://www.synack.com/company/careers/1415523/</t>
  </si>
  <si>
    <t>TripActions</t>
  </si>
  <si>
    <t>https://boards.greenhouse.io/tripactions/jobs/859268</t>
  </si>
  <si>
    <t>UiPath</t>
  </si>
  <si>
    <t>Product Manager Enabling Technologies</t>
  </si>
  <si>
    <t>New York, San Jose, Bellevue</t>
  </si>
  <si>
    <t>https://www.uipath.com/company/jobs?page=product-manager-enabling-technologies/2596/</t>
  </si>
  <si>
    <t>Product Marketing Content Manager</t>
  </si>
  <si>
    <t>New York, Bellevue</t>
  </si>
  <si>
    <t>https://www.uipath.com/company/jobs?page=product-marketing-content-manager/2376/</t>
  </si>
  <si>
    <t>Product Marketing Manager Solutions</t>
  </si>
  <si>
    <t>New York</t>
  </si>
  <si>
    <t>https://www.uipath.com/company/jobs?page=product-marketing-manager-solutions/2173/</t>
  </si>
  <si>
    <t>Bucharest</t>
  </si>
  <si>
    <t>https://www.uipath.com/company/jobs?page=product-manager/2603/</t>
  </si>
  <si>
    <t>https://www.uipath.com/company/jobs?page=product-manager/111/</t>
  </si>
  <si>
    <t>https://www.uipath.com/company/jobs?page=product-marketing-manager-solutions/2564/</t>
  </si>
  <si>
    <t>Healthcare Product Manager</t>
  </si>
  <si>
    <t>https://www.uipath.com/company/jobs?page=healthcare-product-manager/531/</t>
  </si>
  <si>
    <t>Senior Product Manager - Banking</t>
  </si>
  <si>
    <t>https://www.uipath.com/company/jobs?page=senior-product-manager-banking/529/</t>
  </si>
  <si>
    <t>Xebia Labs</t>
  </si>
  <si>
    <t>Product Manager, Integrations</t>
  </si>
  <si>
    <t>Burlington, MA</t>
  </si>
  <si>
    <t>https://xebialabs.com/company/careers/product-manager-integrations/</t>
  </si>
  <si>
    <t>23andMe</t>
  </si>
  <si>
    <t>Senior Product Manager, Research</t>
  </si>
  <si>
    <t>Mt. View, CA</t>
  </si>
  <si>
    <t>https://www.23andme.com/careers/4099284002/</t>
  </si>
  <si>
    <t>Algolia</t>
  </si>
  <si>
    <t>Analytics Product Manager</t>
  </si>
  <si>
    <t>Paris</t>
  </si>
  <si>
    <t>https://www.algolia.com/careers#3c06c2ce-877c-4919-a384-091470d95fc3</t>
  </si>
  <si>
    <t>Infrastructure Product Manager</t>
  </si>
  <si>
    <t>https://www.algolia.com/careers#c458a666-4e11-4e1f-a489-dd3b9ef7fa6c</t>
  </si>
  <si>
    <t>Mobile Technical Product Manager</t>
  </si>
  <si>
    <t>https://www.algolia.com/careers#c0bd2f8a-7809-4f63-9d22-1d0135d1b83d</t>
  </si>
  <si>
    <t>Andela</t>
  </si>
  <si>
    <t>https://boards.greenhouse.io/andela/jobs/1273338</t>
  </si>
  <si>
    <t>VP of Product</t>
  </si>
  <si>
    <t>https://boards.greenhouse.io/andela/jobs/1168334</t>
  </si>
  <si>
    <t>https://asana.com/jobs/apply/716907/product-manager</t>
  </si>
  <si>
    <t>Product Manager - Core Experience</t>
  </si>
  <si>
    <t>https://asana.com/jobs/apply/1346957/product-manager-core-experience</t>
  </si>
  <si>
    <t>Avalara</t>
  </si>
  <si>
    <t>Global Tax Product Manager</t>
  </si>
  <si>
    <t>https://www.avalara.com/us/en/about/jobs/job-details.ojCx8fwk.html?referrer=https%3A%2F%2Ft.co%2FaXg5KcseDm&amp;lastReferrer=www.avalara.com&amp;sessionId=1545593671577</t>
  </si>
  <si>
    <t>https://www.avalara.com/us/en/about/jobs/job-details.oQkT8fwV.html?referrer=https%3A%2F%2Ft.co%2FaXg5KcseDm&amp;lastReferrer=www.avalara.com&amp;sessionId=1545593671577</t>
  </si>
  <si>
    <t>https://www.avalara.com/us/en/about/jobs/job-details.oQkT8fwV-CMvsVfwo.html?referrer=https%3A%2F%2Ft.co%2FaXg5KcseDm&amp;lastReferrer=www.avalara.com&amp;sessionId=1545593671577</t>
  </si>
  <si>
    <t>Avetta</t>
  </si>
  <si>
    <t>Orem, UT</t>
  </si>
  <si>
    <t>http://jobs.jobvite.com/avetta/job/oYwb7fww</t>
  </si>
  <si>
    <t>Product Manager, Data &amp; Analytics</t>
  </si>
  <si>
    <t>http://jobs.jobvite.com/avetta/job/onWg8fwr</t>
  </si>
  <si>
    <t>Irvine, CA</t>
  </si>
  <si>
    <t>http://jobs.jobvite.com/avetta/job/oakK8fw6</t>
  </si>
  <si>
    <t>http://jobs.jobvite.com/avetta/job/o5kK8fw1</t>
  </si>
  <si>
    <t>Avi Networks</t>
  </si>
  <si>
    <t>Santa Clara, CA</t>
  </si>
  <si>
    <t>https://avinetworks.com/careers/?p=job%2FoAnB8fwq</t>
  </si>
  <si>
    <t>AxiomSL</t>
  </si>
  <si>
    <t>Product Manager - Regulatory Reporting</t>
  </si>
  <si>
    <t>Singapore</t>
  </si>
  <si>
    <t>https://axiomsl.workable.com/j/DB51532777</t>
  </si>
  <si>
    <t>Carta</t>
  </si>
  <si>
    <t>Senior Product Manager - Investor Services</t>
  </si>
  <si>
    <t>https://jobs.lever.co/carta/204951e0-885a-4ffb-b4c8-fb01955a92b5</t>
  </si>
  <si>
    <t>Product Manager - Employee Experience</t>
  </si>
  <si>
    <t>https://jobs.lever.co/carta/769b37e8-e33d-492f-a041-ce1609cc0527</t>
  </si>
  <si>
    <t>https://jobs.lever.co/carta/708177ff-0825-4811-8082-8ee3e74fb3cc</t>
  </si>
  <si>
    <t>https://jobs.lever.co/carta/a40d77ca-2ea5-4137-bbab-41220c294f90</t>
  </si>
  <si>
    <t>https://jobs.lever.co/carta/52ecc8c6-a36e-4714-a68e-d04cc18db468</t>
  </si>
  <si>
    <t>CommonBond</t>
  </si>
  <si>
    <t>Senior Product Manager, Student Loan Refinancing</t>
  </si>
  <si>
    <t>https://www.commonbond.co/careers/job-listing?gh_jid=1161648&amp;_ga=2.179686180.1664138543.1545595592-34076923.1545429329</t>
  </si>
  <si>
    <t>Convoy</t>
  </si>
  <si>
    <t>Head of Product Management, Finance</t>
  </si>
  <si>
    <t>https://jobs.lever.co/convoy/3ac266d9-4198-47dc-93d6-deed7e3b7a7c</t>
  </si>
  <si>
    <t>Head of Product Management, Power-Only and Universal Trailer Pool</t>
  </si>
  <si>
    <t>https://jobs.lever.co/convoy/41e8611d-ab98-4bba-9383-406cb9091594</t>
  </si>
  <si>
    <t>Head of Product Management, Shipment Growth</t>
  </si>
  <si>
    <t>https://jobs.lever.co/convoy/046024d8-eef5-4a03-a405-b6221ac83a3b</t>
  </si>
  <si>
    <t>Head of Product Management, Shipper Growth</t>
  </si>
  <si>
    <t>https://jobs.lever.co/convoy/c8809d7e-016f-47ae-859c-b4c608ad6055</t>
  </si>
  <si>
    <t>Head of Product, Carrier Experience</t>
  </si>
  <si>
    <t>https://jobs.lever.co/convoy/f91f5f48-07fd-4f93-af66-c39c534a7f78</t>
  </si>
  <si>
    <t>Cumulus Networks</t>
  </si>
  <si>
    <t>Senior Product Line Manager</t>
  </si>
  <si>
    <t>https://hire.withgoogle.com/public/jobs/cumulusnetworkscom/view/P_AAAAAAEAAEvAJGBJDnOlXj</t>
  </si>
  <si>
    <t>Demisto</t>
  </si>
  <si>
    <t>Senior Product Manager, Incident Response</t>
  </si>
  <si>
    <t>https://jobs.lever.co/demisto/d5823a27-f143-413a-8c13-92c7140ff0ca</t>
  </si>
  <si>
    <t>Earnin</t>
  </si>
  <si>
    <t>https://www.earnin.com/jobs?gh_jid=745668</t>
  </si>
  <si>
    <t>FBN</t>
  </si>
  <si>
    <t>San Carlos, CA</t>
  </si>
  <si>
    <t>https://boards.greenhouse.io/farmersbusinessnetwork/jobs/408951</t>
  </si>
  <si>
    <t>Flywire</t>
  </si>
  <si>
    <t>Boston, MA</t>
  </si>
  <si>
    <t>https://www.flywire.com/career-details/?gh_jid=1257234</t>
  </si>
  <si>
    <t>Health IQ</t>
  </si>
  <si>
    <t>Product Manager - Customer Acquisition</t>
  </si>
  <si>
    <t>https://hire.withgoogle.com/public/jobs/healthiqcom/view/P_AAAAAAEAAKPG7YFW5n8Y1z</t>
  </si>
  <si>
    <t>Illumio</t>
  </si>
  <si>
    <t>Senior Product Manager, Data &amp; Visualization</t>
  </si>
  <si>
    <t>Sunnyvale, CA</t>
  </si>
  <si>
    <t>https://www.illumio.com/career-openings?gh_jid=4095715002</t>
  </si>
  <si>
    <t>Justworks</t>
  </si>
  <si>
    <t>Product Marketing Manager, Health Insurance</t>
  </si>
  <si>
    <t>https://boards.greenhouse.io/justworks/jobs/1395687</t>
  </si>
  <si>
    <t>Lever</t>
  </si>
  <si>
    <t>https://jobs.lever.co/lever/b3928f65-92bd-4102-95c4-fdfed43ce757</t>
  </si>
  <si>
    <t>https://jobs.lever.co/lever/ebb56107-e2e3-4003-9337-1c4e6269553c</t>
  </si>
  <si>
    <t>Narvar</t>
  </si>
  <si>
    <t>https://boards.greenhouse.io/narvar/jobs/1449324</t>
  </si>
  <si>
    <t>Senior Product Manager - B2B</t>
  </si>
  <si>
    <t>https://boards.greenhouse.io/narvar/jobs/1449308</t>
  </si>
  <si>
    <t>Senior Product Manager - Data Platform</t>
  </si>
  <si>
    <t>https://boards.greenhouse.io/narvar/jobs/1000392</t>
  </si>
  <si>
    <t>Senior Product Manager - Core Applications</t>
  </si>
  <si>
    <t>https://boards.greenhouse.io/narvar/jobs/1449318</t>
  </si>
  <si>
    <t>OfferUp</t>
  </si>
  <si>
    <t>Principal Product Manager - Payments</t>
  </si>
  <si>
    <t>Bellevue, WA</t>
  </si>
  <si>
    <t>https://boards.greenhouse.io/offerup/jobs/1385571</t>
  </si>
  <si>
    <t>Opendoor</t>
  </si>
  <si>
    <t>Product Manager - Mortgages</t>
  </si>
  <si>
    <t>https://jobs.lever.co/opendoor/5ea74530-6fa0-4548-9199-2360c591df78</t>
  </si>
  <si>
    <t>Product Manager - Pricing</t>
  </si>
  <si>
    <t>https://jobs.lever.co/opendoor/881de5c3-65cf-4ece-8b6d-bfb539d64ebd</t>
  </si>
  <si>
    <t>Atlanta, GA</t>
  </si>
  <si>
    <t>https://jobs.lever.co/opendoor/9e8053da-ca37-40ac-b922-8836e784fe5a</t>
  </si>
  <si>
    <t>Panzura</t>
  </si>
  <si>
    <t>Enterprise Storage Product Manager</t>
  </si>
  <si>
    <t>Campbell, CA or Austin, TX</t>
  </si>
  <si>
    <t>https://jobs.lever.co/panzura/ee516af5-1f87-4cde-a37c-b737f85c11ff</t>
  </si>
  <si>
    <t>Director of Product Partnerships</t>
  </si>
  <si>
    <t>https://boards.greenhouse.io/pendo/jobs/4097956002</t>
  </si>
  <si>
    <t>https://boards.greenhouse.io/pendo/jobs/4093261002</t>
  </si>
  <si>
    <t>Herzliya, Israel</t>
  </si>
  <si>
    <t>https://boards.greenhouse.io/pendo/jobs/4113146002</t>
  </si>
  <si>
    <t>Plaid</t>
  </si>
  <si>
    <t>https://jobs.lever.co/plaid/5292e8a7-1938-4a26-b188-b83c8549ffd8</t>
  </si>
  <si>
    <t>Quora</t>
  </si>
  <si>
    <t>https://jobs.lever.co/quora/7e2917c3-ea25-4f87-b728-4f7383861e81</t>
  </si>
  <si>
    <t>Product Manager - Ads</t>
  </si>
  <si>
    <t>https://jobs.lever.co/quora/a9e1fe36-7571-404a-93ef-b6413fb58c5c</t>
  </si>
  <si>
    <t>Product Manager - Content Distribution</t>
  </si>
  <si>
    <t>https://jobs.lever.co/quora/ecb6f07e-54b9-4ce1-8f46-7b0ef398ae0c</t>
  </si>
  <si>
    <t>Product Manager - Partner Program</t>
  </si>
  <si>
    <t>https://jobs.lever.co/quora/1f028433-9835-4d65-aa66-477865a17dda</t>
  </si>
  <si>
    <t>Podium</t>
  </si>
  <si>
    <t>Lehi, UT</t>
  </si>
  <si>
    <t>https://hire.withgoogle.com/public/jobs/podiumcom/view/P_AAAAAACAAEnK5PijmUiOCy</t>
  </si>
  <si>
    <t>Procore</t>
  </si>
  <si>
    <t>Principal Product Manager, Developer Experience</t>
  </si>
  <si>
    <t>Carpinteria, CA</t>
  </si>
  <si>
    <t>https://www.procore.com/jobs/openings/1336215</t>
  </si>
  <si>
    <t>Product Manager, Directory</t>
  </si>
  <si>
    <t>https://www.procore.com/jobs/openings/1191733</t>
  </si>
  <si>
    <t>https://www.procore.com/jobs/openings/1424232</t>
  </si>
  <si>
    <t>Root</t>
  </si>
  <si>
    <t>Columbus, OH</t>
  </si>
  <si>
    <t>https://www.joinroot.com/careers/6652dcbc-df63-4156-b54c-b4723092ec46</t>
  </si>
  <si>
    <t>https://www.joinroot.com/careers/57bcc8f9-473f-47e8-8279-61e4fecd5472</t>
  </si>
  <si>
    <t>Principal / Director, Product Management</t>
  </si>
  <si>
    <t>https://boards.greenhouse.io/samsara/jobs/1484391</t>
  </si>
  <si>
    <t>https://boards.greenhouse.io/samsara/jobs/692811</t>
  </si>
  <si>
    <t>Product Manager - Developer Ecosystem</t>
  </si>
  <si>
    <t>https://boards.greenhouse.io/samsara/jobs/1109136</t>
  </si>
  <si>
    <t>Product Manager - Industrial Team</t>
  </si>
  <si>
    <t>https://boards.greenhouse.io/samsara/jobs/1399604</t>
  </si>
  <si>
    <t>Product Manager - Infrastructure</t>
  </si>
  <si>
    <t>https://boards.greenhouse.io/samsara/jobs/1106432</t>
  </si>
  <si>
    <t>Product Operations Manager</t>
  </si>
  <si>
    <t>https://boards.greenhouse.io/samsara/jobs/997785</t>
  </si>
  <si>
    <t>https://boards.greenhouse.io/samsara/jobs/1484386</t>
  </si>
  <si>
    <t>https://boards.greenhouse.io/samsara/jobs/1106398</t>
  </si>
  <si>
    <t>https://boards.greenhouse.io/samsara/jobs/1478522</t>
  </si>
  <si>
    <t>Scale</t>
  </si>
  <si>
    <t>https://jobs.lever.co/scaleapi/ee4e0485-3f97-4211-a579-fad36e3dce9e</t>
  </si>
  <si>
    <t>https://jobs.lever.co/scaleapi/e40f6365-765b-468c-9078-feb88cbd1665</t>
  </si>
  <si>
    <t>Senior Product Manager, Clinical Trials</t>
  </si>
  <si>
    <t>https://www.23andme.com/en-int/careers/4136927002/</t>
  </si>
  <si>
    <t xml:space="preserve">Crunchbase </t>
  </si>
  <si>
    <t>https://www.producthired.com/job/crunchbase-product-manager/</t>
  </si>
  <si>
    <t>Engagio</t>
  </si>
  <si>
    <t>San Mateo, CA</t>
  </si>
  <si>
    <t>https://www.producthired.com/job/engagio-product-manager/</t>
  </si>
  <si>
    <t>Fundera</t>
  </si>
  <si>
    <t>https://www.producthired.com/job/fundera-product-manager/</t>
  </si>
  <si>
    <t>GoPro</t>
  </si>
  <si>
    <t>https://www.producthired.com/job/gopro-senior-product-manager/</t>
  </si>
  <si>
    <t>Ondeck</t>
  </si>
  <si>
    <t>Denver, CO</t>
  </si>
  <si>
    <t>https://www.producthired.com/job/ondeck-senior-product-manager/</t>
  </si>
  <si>
    <t>Priceline</t>
  </si>
  <si>
    <t>https://www.producthired.com/job/priceline-product-manager/</t>
  </si>
  <si>
    <t xml:space="preserve">Affirm </t>
  </si>
  <si>
    <t>https://www.producthired.com/job/product-manager-affirm/</t>
  </si>
  <si>
    <t>Crowdstrike</t>
  </si>
  <si>
    <t>https://www.producthired.com/job/product-manager-crowdstrike/</t>
  </si>
  <si>
    <t>Linkedin</t>
  </si>
  <si>
    <t>https://www.producthired.com/job/product-manager-linkedin/</t>
  </si>
  <si>
    <t>Pure Storage</t>
  </si>
  <si>
    <t>https://www.producthired.com/job/product-manager-pure-storage/</t>
  </si>
  <si>
    <t>Quantum Digital</t>
  </si>
  <si>
    <t>https://www.producthired.com/job/quantum-digital-product-manager/</t>
  </si>
  <si>
    <t>Thumbtack</t>
  </si>
  <si>
    <t>https://www.producthired.com/job/thumbtack-product-manager-sf/</t>
  </si>
  <si>
    <t>Product Manager Core</t>
  </si>
  <si>
    <t>https://www.producthired.com/job/facebook-product-manager-core/</t>
  </si>
  <si>
    <t>Fanatics</t>
  </si>
  <si>
    <t>https://www.producthired.com/job/fanatics-product-manager/</t>
  </si>
  <si>
    <t>Flexport</t>
  </si>
  <si>
    <t xml:space="preserve">Director of Product </t>
  </si>
  <si>
    <t>https://www.producthired.com/job/flexport-director-product/</t>
  </si>
  <si>
    <t>Nest</t>
  </si>
  <si>
    <t>Senior Product Marketing Manager</t>
  </si>
  <si>
    <t>https://www.producthired.com/job/nest-senior-prod%E2%80%A6arketing-manager/</t>
  </si>
  <si>
    <t>Shutterfly</t>
  </si>
  <si>
    <t>https://www.producthired.com/job/shutterfly-senior-director-product/</t>
  </si>
  <si>
    <t>SurveyMonkey</t>
  </si>
  <si>
    <t>Product Manager Platform</t>
  </si>
  <si>
    <t>https://www.producthired.com/job/surveymonkey-product-manager-platform/</t>
  </si>
  <si>
    <t>https://www.linkedin.com/jobs/view/product-manager-api-sdk-at-hiya-939472815</t>
  </si>
  <si>
    <t>Palo Alto</t>
  </si>
  <si>
    <t>https://www.producthired.com/job/senior-product-manager-amazon/</t>
  </si>
  <si>
    <t>https://www.producthired.com/job/asana-product-manager/</t>
  </si>
  <si>
    <t>Boosted</t>
  </si>
  <si>
    <t>https://www.producthired.com/job/senior-product-manager-boosted/</t>
  </si>
  <si>
    <t>Groupon</t>
  </si>
  <si>
    <t>Group Product Manager</t>
  </si>
  <si>
    <t>https://www.producthired.com/job/group-product-manager-groupon/</t>
  </si>
  <si>
    <t>https://www.producthired.com/job/product-manager-tripactions/</t>
  </si>
  <si>
    <t>Udacity</t>
  </si>
  <si>
    <t>https://www.producthired.com/job/senior-product-manager-udacity/</t>
  </si>
  <si>
    <t>EY</t>
  </si>
  <si>
    <t>https://www.linkedin.com/comm/jobs/view/936177095</t>
  </si>
  <si>
    <t>Forever21</t>
  </si>
  <si>
    <t>Product Manager, eComm Technology</t>
  </si>
  <si>
    <t>https://www.linkedin.com/comm/jobs/view/942945117</t>
  </si>
  <si>
    <t>Gap</t>
  </si>
  <si>
    <t>Product Manager, Digital Customer Experience</t>
  </si>
  <si>
    <t>https://www.linkedin.com/comm/jobs/view/946732181</t>
  </si>
  <si>
    <t>Snap</t>
  </si>
  <si>
    <t>https://www.linkedin.com/comm/jobs/view/791046427</t>
  </si>
  <si>
    <t>Sunbit</t>
  </si>
  <si>
    <t>https://www.linkedin.com/comm/jobs/view/952874696</t>
  </si>
  <si>
    <t>First Republic Bank</t>
  </si>
  <si>
    <t>https://www.linkedin.com/jobs/view/956174255</t>
  </si>
  <si>
    <t>Homeaway</t>
  </si>
  <si>
    <t>Product Manager - Marketplace Health</t>
  </si>
  <si>
    <t>https://www.linkedin.com/jobs/view/887700992</t>
  </si>
  <si>
    <t>Universal Tennis</t>
  </si>
  <si>
    <t>https://www.linkedin.com/jobs/view/953065285</t>
  </si>
  <si>
    <t>Amobee</t>
  </si>
  <si>
    <t>https://www.producthired.com/job/vp-product-management-amobee/</t>
  </si>
  <si>
    <t>Gwynnie Bee</t>
  </si>
  <si>
    <t xml:space="preserve">Senior Product </t>
  </si>
  <si>
    <t>Palo Atlo, CA</t>
  </si>
  <si>
    <t>https://www.producthired.com/job/gwynnie-bee-senior-product-manager/</t>
  </si>
  <si>
    <t>Namely</t>
  </si>
  <si>
    <t>New York, CA</t>
  </si>
  <si>
    <t>https://www.producthired.com/job/product-manager-namely/</t>
  </si>
  <si>
    <t xml:space="preserve">https://www.producthired.com/job/product-manager-oath/ </t>
  </si>
  <si>
    <t>https://www.producthired.com/job/surveymonkey-product-manager/</t>
  </si>
  <si>
    <t>Toptal</t>
  </si>
  <si>
    <t>https://www.producthired.com/job/toptal-product-manager/</t>
  </si>
  <si>
    <t>Senior PM</t>
  </si>
  <si>
    <t>Milpitas, CA</t>
  </si>
  <si>
    <t xml:space="preserve">https://www.producthired.com/job/cisco-senior-product-manager/ </t>
  </si>
  <si>
    <t>Disney</t>
  </si>
  <si>
    <t xml:space="preserve">San Francisco </t>
  </si>
  <si>
    <t>https://www.producthired.com/job/disney-product-manager/</t>
  </si>
  <si>
    <t>Hub</t>
  </si>
  <si>
    <t>https://www.producthired.com/job/product-manager-hub/</t>
  </si>
  <si>
    <t>NerdWallet</t>
  </si>
  <si>
    <t>https://www.producthired.com/job/nerdwallet-product-manager/</t>
  </si>
  <si>
    <t>https://www.producthired.com/job/paypal-senior-product-manager/</t>
  </si>
  <si>
    <t>https://www.producthired.com/job/airbnb-product-manager/</t>
  </si>
  <si>
    <t>Chive Media Group</t>
  </si>
  <si>
    <t>https://www.producthired.com/job/chive-media-group-project-manager/</t>
  </si>
  <si>
    <t>Cognizant</t>
  </si>
  <si>
    <t>https://www.producthired.com/job/cognizant-product-manager/</t>
  </si>
  <si>
    <t>Netapp</t>
  </si>
  <si>
    <t>https://www.producthired.com/job/netapp-product-manager/</t>
  </si>
  <si>
    <t>Qualtrics</t>
  </si>
  <si>
    <t>https://boards.greenhouse.io/qualtrics/jobs/8684</t>
  </si>
  <si>
    <t>Shopify</t>
  </si>
  <si>
    <t>Product Manager, Payments - Financial Solutions</t>
  </si>
  <si>
    <t>Montreal</t>
  </si>
  <si>
    <t>https://www.shopify.com/careers/product-manager-payments-financial-solutions-eb415c</t>
  </si>
  <si>
    <t>Carrollton, TX</t>
  </si>
  <si>
    <t>https://www.producthired.com/job/thomsonreuters-product-manager/</t>
  </si>
  <si>
    <t>Wikimedia</t>
  </si>
  <si>
    <t>https://www.producthired.com/job/wikimedia-product-manager/</t>
  </si>
  <si>
    <t>Elastic</t>
  </si>
  <si>
    <t>Senior Product Manager (core Elasticsearch server)</t>
  </si>
  <si>
    <t>https://www.elastic.co/about/careers/product/jobs/1283261</t>
  </si>
  <si>
    <t>Pinterest</t>
  </si>
  <si>
    <t>Product Manager, Insights &amp; Analytics</t>
  </si>
  <si>
    <t>https://careers.pinterest.com/careers/details/1388082</t>
  </si>
  <si>
    <t>Product Manager, Following Tab</t>
  </si>
  <si>
    <t>https://careers.pinterest.com/careers/details/1385161</t>
  </si>
  <si>
    <t>Hotwire</t>
  </si>
  <si>
    <t>Product Manager, Mobile Apps</t>
  </si>
  <si>
    <t>https://www.linkedin.com/jobs/view/product-manager-mobile-apps-%28hotwire-san-at-hotwire-927173351/</t>
  </si>
  <si>
    <t>Bank of America</t>
  </si>
  <si>
    <t>http://careers.bankofamerica.com/job-detail/18061839/united-states/us/product-manager--data-and-analytics</t>
  </si>
  <si>
    <t>Head of Product Management, Medium Sized Carriers</t>
  </si>
  <si>
    <t>https://www.linkedin.com/jobs/view/head-of-product-management%2C-medium-sized-carriers-at-convoy-inc-906650319</t>
  </si>
  <si>
    <t>Emerson</t>
  </si>
  <si>
    <t>Rosemont IL</t>
  </si>
  <si>
    <t>https://emerson.taleo.net/careersection/ex/jobdetail.ftl?job=18015087&amp;lang=en&amp;media_id=46787&amp;src=Indeed&amp;src=JB-10086</t>
  </si>
  <si>
    <t>Ford Motor Company</t>
  </si>
  <si>
    <t>Emerging Analytics Product Manager</t>
  </si>
  <si>
    <t>Dearborn MI</t>
  </si>
  <si>
    <t>https://sjobs.brassring.com/TGnewUI/Search/home/HomeWithPreLoad?PageType=JobDetails&amp;partnerid=25385&amp;siteid=5186&amp;AReq=30909BR&amp;codes=SF_Indeed#jobDetails=416135_5186</t>
  </si>
  <si>
    <t>GE</t>
  </si>
  <si>
    <t>Sr Technical Product Manager</t>
  </si>
  <si>
    <t>Van Buren Township, Schenectady</t>
  </si>
  <si>
    <t>https://jobs.gecareers.com/ShowJob/Id/67201/Sr%20Technical%20Product%20Manager</t>
  </si>
  <si>
    <t>Johnson Controls</t>
  </si>
  <si>
    <t>Product Manager, Network Camera</t>
  </si>
  <si>
    <t>Fishers, IN</t>
  </si>
  <si>
    <t>https://tas-johnsoncontrols.taleo.net/careersection/10000/jobdetail.ftl?job=169337&amp;src=JB-15980</t>
  </si>
  <si>
    <t>Koder</t>
  </si>
  <si>
    <t>Blockchain Product Manager</t>
  </si>
  <si>
    <t>Irvine</t>
  </si>
  <si>
    <t>https://angel.co/koder/jobs/440117-blockchain-product-manager</t>
  </si>
  <si>
    <t>Morningstar</t>
  </si>
  <si>
    <t>https://morningstar.wd5.myworkdayjobs.com/en-US/Americas/job/Chicago/Product-Manager_REQ-010772-1</t>
  </si>
  <si>
    <t>Nova Credit</t>
  </si>
  <si>
    <t>https://jobs.lever.co/neednova/41e0dee3-95b1-4b53-93cf-54145b39bb94</t>
  </si>
  <si>
    <t>PNC</t>
  </si>
  <si>
    <t>Product Manager III</t>
  </si>
  <si>
    <t>https://sjobs.brassring.com/TGnewUI/Search/home/HomeWithPreLoad?PageType=JobDetails&amp;noback=0&amp;partnerid=15783&amp;siteid=5130&amp;jobid=1477882#jobDetails=1477882_5130</t>
  </si>
  <si>
    <t>Quicken Loans</t>
  </si>
  <si>
    <t>Detroit</t>
  </si>
  <si>
    <t>https://careers-quickenloans.icims.com/jobs/36582/product-manager/job?mode=job&amp;iis=Indeed&amp;iisn=Indeed.com&amp;mobile=false&amp;width=1334&amp;height=500&amp;bga=true&amp;needsRedirect=false&amp;jan1offset=-480&amp;jun1offset=-420</t>
  </si>
  <si>
    <t>Dir, Product Strategy</t>
  </si>
  <si>
    <t>https://www.indeed.com/viewjob?jk=ff628472f3303f9c&amp;from=recjobs&amp;vjtk=1cq1i5sv6bqkv800</t>
  </si>
  <si>
    <t>Remitly</t>
  </si>
  <si>
    <t>Senior Product Manager, Fraud Prevention</t>
  </si>
  <si>
    <t>https://www.remitly.com/us/en/careers/1044524</t>
  </si>
  <si>
    <t>Snapsheet</t>
  </si>
  <si>
    <t xml:space="preserve">Senior Product Manager   </t>
  </si>
  <si>
    <t>https://www.indeed.com/viewjob?jk=8a54bf8c6062dedf&amp;q=product+manager&amp;l=chicago&amp;tk=1cq1i4g5o1c1r000&amp;from=web&amp;advn=7826741124866407&amp;sjdu=JO7P6TZFhAvlb1Iwq8U87BinYnSrPGXscqRBQx8s7ICZiPlbiG4hevX4sTwnyx56pqfoXKU_Pz4EYeLpYxBuR7PXio_lgtGg-NCgo1GNFDXKEUWVe8iBoPUhkznU99b4s1BKabnULGMf5XSuMY1iJA&amp;acatk=1cq1i4lc7b08h800&amp;pub=4a1b367933fd867b19b072952f68dceb&amp;vjs=3</t>
  </si>
  <si>
    <t>SocialChorus</t>
  </si>
  <si>
    <t>Senior Product Manager - Remote</t>
  </si>
  <si>
    <t>Remote or Daly City</t>
  </si>
  <si>
    <t>https://www.ziprecruiter.com/c/Arrowroot-Capital/Job/Senior-Product-Manager-Remote/-in-Daly-City,CA?jobid=257c8183-f695771d</t>
  </si>
  <si>
    <t>Spirit Fitness</t>
  </si>
  <si>
    <t>https://www.indeed.com/cmp/Spirit-Fitness/jobs/Product-Manager-dbd54132acd8575a?sjdu=QwrRXKrqZ3CNX5W-O9jEvTHK_qwVIn-tz6nDN_ABFtv3GOybW6S_Jo2b5jFzTO7jvPnZOeZTctrniB1WhN3yIQ&amp;tk=1cq1i67ak1c1r002&amp;vjs=3</t>
  </si>
  <si>
    <t>Square</t>
  </si>
  <si>
    <t>Product Manager, Developer Platform</t>
  </si>
  <si>
    <t>https://www.smartrecruiters.com/Square/743999676232982</t>
  </si>
  <si>
    <t>Charles Schwab</t>
  </si>
  <si>
    <t>Associate, Product Manager</t>
  </si>
  <si>
    <t>https://www.schwabjobs.com/ShowJob/Id/1797968/Associate,%20Product%20Manager</t>
  </si>
  <si>
    <t>Product Manager, Caviar (Diners)</t>
  </si>
  <si>
    <t>https://www.smartrecruiters.com/Square/743999676655788</t>
  </si>
  <si>
    <t>Product Manager - Catalog</t>
  </si>
  <si>
    <t>Atlanta</t>
  </si>
  <si>
    <t>https://www.smartrecruiters.com/Square/743999677571237</t>
  </si>
  <si>
    <t>Strata</t>
  </si>
  <si>
    <t>Product Manager - Reporting</t>
  </si>
  <si>
    <t>https://recruiting.ultipro.com/ROP1001ROPER/JobBoard/21c753f8-41e9-4b7c-8ad6-f7f862d495b7/OpportunityDetail?opportunityId=59bc309e-8846-4b8f-aba4-40e1295998d3</t>
  </si>
  <si>
    <t>VMware</t>
  </si>
  <si>
    <t>Senior Technical Product Manager - NSX (Remote)</t>
  </si>
  <si>
    <t>Remote or Palo Alto</t>
  </si>
  <si>
    <t>https://www.ziprecruiter.com/c/VMware/Job/Senior-Technical-Product-Manager-NSX-(Remote)/-in-Palo-Alto,CA?ojob=03b9e3d45f28845d871cee1e4787f1d6</t>
  </si>
  <si>
    <t>Product Manager, Search</t>
  </si>
  <si>
    <t>Redwood City</t>
  </si>
  <si>
    <t>https://boards.greenhouse.io/boxinc/jobs/1233618</t>
  </si>
  <si>
    <t>CircleCI</t>
  </si>
  <si>
    <t>https://uncubed.com/jobs/circleci/job/89869-senior-product-manager</t>
  </si>
  <si>
    <t>https://jobs.ebayinc.com/job/san-jose/product-manager/403/9006805</t>
  </si>
  <si>
    <t>Formation</t>
  </si>
  <si>
    <t>https://formation.ai/careers/product-manager/</t>
  </si>
  <si>
    <t>Pleasanton</t>
  </si>
  <si>
    <t>https://recruiting.adp.com/srccar/public/RTI.home?c=1208301&amp;d=External&amp;r=5000392831806#/</t>
  </si>
  <si>
    <t>Product Manager, API Identity and Security</t>
  </si>
  <si>
    <t>https://slack.com/careers/1241189/product-manager-api-identity-and-security</t>
  </si>
  <si>
    <t>Applecart</t>
  </si>
  <si>
    <t>Product Manager, Matching Team</t>
  </si>
  <si>
    <t>https://applecart.recruiterbox.com/jobs/fk01spl/</t>
  </si>
  <si>
    <t>https://jobs.lever.co/skilljar/ee6d4c55-3658-4052-80e7-647845cea3be</t>
  </si>
  <si>
    <t>VividCortex</t>
  </si>
  <si>
    <t>Washington DC or Charlottesville</t>
  </si>
  <si>
    <t>https://jobs.lever.co/vividcortex/f11cff84-ae7a-4941-bcc1-9711739b972b</t>
  </si>
  <si>
    <t>HelloSign</t>
  </si>
  <si>
    <t>Product Manager, API</t>
  </si>
  <si>
    <t>https://jobs.lever.co/hellosign/32121111-3c5c-4087-86fb-eef00961ab6f</t>
  </si>
  <si>
    <t>https://careers.microsoft.com/i/us/en</t>
  </si>
  <si>
    <t>https://www.amazon.jobs/en/jobs/701918/sr-product-manager-private-brands</t>
  </si>
  <si>
    <t>AngelList</t>
  </si>
  <si>
    <t>New York City, San Francisco</t>
  </si>
  <si>
    <t>https://angel.co/angellist/jobs/396844-product-manager-talent</t>
  </si>
  <si>
    <t>Coinbase</t>
  </si>
  <si>
    <t>PM, Coinbase Pro</t>
  </si>
  <si>
    <t>https://www.coinbase.com/careers/1000026</t>
  </si>
  <si>
    <t>PM, Messaging</t>
  </si>
  <si>
    <t>https://www.theladders.com/job/product-manager-messaging-slack-san-francisco-ca_37433379</t>
  </si>
  <si>
    <t>expired</t>
  </si>
  <si>
    <t>Poshmark</t>
  </si>
  <si>
    <t>PM, User Growth</t>
  </si>
  <si>
    <t>https://boards.greenhouse.io/poshmark/jobs/1325051</t>
  </si>
  <si>
    <t>Robinhood</t>
  </si>
  <si>
    <t>Menlo Park</t>
  </si>
  <si>
    <t>https://angel.co/robinhood/jobs/296249-product-manager</t>
  </si>
  <si>
    <t>PM, Shopify Plus</t>
  </si>
  <si>
    <t>https://www.shopify.com/careers/product-manager-shopify-plus-880b50</t>
  </si>
  <si>
    <t>Textio</t>
  </si>
  <si>
    <t>https://angel.co/textio/jobs/414031-product-manager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</si>
</sst>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m/dd/yyyy"/>
    <numFmt numFmtId="167" formatCode="m/d/yy"/>
    <numFmt numFmtId="168" formatCode="m&quot;/&quot;d&quot;/&quot;yy"/>
  </numFmts>
  <fonts count="30">
    <font>
      <sz val="10.0"/>
      <color rgb="FF000000"/>
      <name val="Arial"/>
    </font>
    <font>
      <b/>
      <sz val="14.0"/>
      <color rgb="FF000000"/>
      <name val="Arial"/>
    </font>
    <font>
      <b/>
      <u/>
      <sz val="14.0"/>
      <color rgb="FF0000FF"/>
      <name val="Arial"/>
    </font>
    <font>
      <b/>
      <color rgb="FFFF0000"/>
      <name val="Arial"/>
    </font>
    <font>
      <b/>
      <name val="Arial"/>
    </font>
    <font>
      <b/>
      <color rgb="FF000000"/>
      <name val="Arial"/>
    </font>
    <font>
      <u/>
      <color rgb="FF0000FF"/>
    </font>
    <font>
      <b/>
    </font>
    <font>
      <u/>
      <color rgb="FF0000FF"/>
    </font>
    <font>
      <b/>
      <sz val="10.0"/>
      <name val="Arial"/>
    </font>
    <font>
      <b/>
      <sz val="10.0"/>
    </font>
    <font>
      <sz val="10.0"/>
    </font>
    <font>
      <sz val="10.0"/>
      <name val="Arial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555555"/>
      <name val="Arial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rgb="FF1B2733"/>
      <name val="Arial"/>
    </font>
    <font>
      <name val="Arial"/>
    </font>
    <font>
      <u/>
      <color rgb="FF1155CC"/>
    </font>
    <font>
      <u/>
      <color rgb="FF3C78D8"/>
    </font>
    <font>
      <u/>
      <color rgb="FF3C78D8"/>
    </font>
    <font>
      <u/>
      <color rgb="FF1155CC"/>
    </font>
    <font>
      <u/>
      <color rgb="FF6D9EEB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3" numFmtId="0" xfId="0" applyAlignment="1" applyFont="1">
      <alignment readingOrder="0" shrinkToFit="0" vertical="top" wrapText="1"/>
    </xf>
    <xf borderId="0" fillId="2" fontId="3" numFmtId="0" xfId="0" applyAlignment="1" applyFont="1">
      <alignment shrinkToFit="0" vertical="top" wrapText="1"/>
    </xf>
    <xf borderId="0" fillId="2" fontId="4" numFmtId="0" xfId="0" applyAlignment="1" applyFont="1">
      <alignment readingOrder="0" shrinkToFit="0" vertical="top" wrapText="1"/>
    </xf>
    <xf borderId="0" fillId="2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11" numFmtId="0" xfId="0" applyFont="1"/>
    <xf borderId="0" fillId="4" fontId="12" numFmtId="0" xfId="0" applyAlignment="1" applyFill="1" applyFont="1">
      <alignment readingOrder="0"/>
    </xf>
    <xf borderId="0" fillId="4" fontId="13" numFmtId="0" xfId="0" applyAlignment="1" applyFont="1">
      <alignment readingOrder="0"/>
    </xf>
    <xf borderId="0" fillId="4" fontId="11" numFmtId="164" xfId="0" applyAlignment="1" applyFont="1" applyNumberFormat="1">
      <alignment readingOrder="0"/>
    </xf>
    <xf borderId="0" fillId="4" fontId="11" numFmtId="0" xfId="0" applyFont="1"/>
    <xf borderId="0" fillId="2" fontId="12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11" numFmtId="164" xfId="0" applyFont="1" applyNumberFormat="1"/>
    <xf borderId="0" fillId="2" fontId="11" numFmtId="0" xfId="0" applyFont="1"/>
    <xf borderId="0" fillId="4" fontId="11" numFmtId="165" xfId="0" applyAlignment="1" applyFont="1" applyNumberFormat="1">
      <alignment readingOrder="0"/>
    </xf>
    <xf borderId="0" fillId="2" fontId="11" numFmtId="165" xfId="0" applyAlignment="1" applyFont="1" applyNumberFormat="1">
      <alignment readingOrder="0"/>
    </xf>
    <xf borderId="0" fillId="4" fontId="15" numFmtId="0" xfId="0" applyAlignment="1" applyFont="1">
      <alignment readingOrder="0"/>
    </xf>
    <xf borderId="0" fillId="2" fontId="0" numFmtId="0" xfId="0" applyAlignment="1" applyFont="1">
      <alignment readingOrder="0"/>
    </xf>
    <xf borderId="0" fillId="5" fontId="16" numFmtId="0" xfId="0" applyAlignment="1" applyFill="1" applyFont="1">
      <alignment readingOrder="0"/>
    </xf>
    <xf borderId="0" fillId="4" fontId="11" numFmtId="0" xfId="0" applyAlignment="1" applyFont="1">
      <alignment readingOrder="0"/>
    </xf>
    <xf borderId="0" fillId="2" fontId="12" numFmtId="0" xfId="0" applyFont="1"/>
    <xf borderId="0" fillId="4" fontId="12" numFmtId="0" xfId="0" applyFont="1"/>
    <xf borderId="0" fillId="3" fontId="17" numFmtId="0" xfId="0" applyAlignment="1" applyFont="1">
      <alignment readingOrder="0"/>
    </xf>
    <xf borderId="0" fillId="4" fontId="17" numFmtId="0" xfId="0" applyAlignment="1" applyFont="1">
      <alignment readingOrder="0"/>
    </xf>
    <xf borderId="0" fillId="4" fontId="18" numFmtId="0" xfId="0" applyAlignment="1" applyFont="1">
      <alignment readingOrder="0"/>
    </xf>
    <xf borderId="0" fillId="4" fontId="17" numFmtId="165" xfId="0" applyAlignment="1" applyFont="1" applyNumberFormat="1">
      <alignment readingOrder="0"/>
    </xf>
    <xf borderId="0" fillId="4" fontId="17" numFmtId="0" xfId="0" applyAlignment="1" applyFont="1">
      <alignment readingOrder="0"/>
    </xf>
    <xf borderId="0" fillId="6" fontId="17" numFmtId="0" xfId="0" applyAlignment="1" applyFill="1" applyFont="1">
      <alignment readingOrder="0"/>
    </xf>
    <xf borderId="0" fillId="6" fontId="19" numFmtId="0" xfId="0" applyAlignment="1" applyFont="1">
      <alignment readingOrder="0"/>
    </xf>
    <xf borderId="0" fillId="6" fontId="17" numFmtId="165" xfId="0" applyAlignment="1" applyFont="1" applyNumberFormat="1">
      <alignment readingOrder="0"/>
    </xf>
    <xf borderId="0" fillId="6" fontId="17" numFmtId="0" xfId="0" applyFont="1"/>
    <xf borderId="0" fillId="4" fontId="17" numFmtId="0" xfId="0" applyFont="1"/>
    <xf borderId="0" fillId="2" fontId="17" numFmtId="0" xfId="0" applyAlignment="1" applyFont="1">
      <alignment readingOrder="0"/>
    </xf>
    <xf borderId="0" fillId="2" fontId="20" numFmtId="0" xfId="0" applyAlignment="1" applyFont="1">
      <alignment readingOrder="0"/>
    </xf>
    <xf borderId="0" fillId="2" fontId="17" numFmtId="165" xfId="0" applyAlignment="1" applyFont="1" applyNumberFormat="1">
      <alignment readingOrder="0"/>
    </xf>
    <xf borderId="0" fillId="2" fontId="17" numFmtId="0" xfId="0" applyFont="1"/>
    <xf borderId="0" fillId="3" fontId="17" numFmtId="0" xfId="0" applyFont="1"/>
    <xf borderId="0" fillId="2" fontId="21" numFmtId="0" xfId="0" applyAlignment="1" applyFont="1">
      <alignment readingOrder="0"/>
    </xf>
    <xf borderId="0" fillId="4" fontId="17" numFmtId="0" xfId="0" applyAlignment="1" applyFont="1">
      <alignment readingOrder="0"/>
    </xf>
    <xf borderId="0" fillId="2" fontId="17" numFmtId="0" xfId="0" applyAlignment="1" applyFont="1">
      <alignment readingOrder="0"/>
    </xf>
    <xf borderId="0" fillId="4" fontId="0" numFmtId="0" xfId="0" applyAlignment="1" applyFont="1">
      <alignment readingOrder="0"/>
    </xf>
    <xf borderId="0" fillId="2" fontId="22" numFmtId="0" xfId="0" applyAlignment="1" applyFont="1">
      <alignment readingOrder="0"/>
    </xf>
    <xf borderId="0" fillId="3" fontId="4" numFmtId="0" xfId="0" applyAlignment="1" applyFont="1">
      <alignment vertical="bottom"/>
    </xf>
    <xf borderId="0" fillId="3" fontId="4" numFmtId="165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23" numFmtId="0" xfId="0" applyAlignment="1" applyFont="1">
      <alignment vertical="bottom"/>
    </xf>
    <xf borderId="0" fillId="4" fontId="17" numFmtId="166" xfId="0" applyAlignment="1" applyFont="1" applyNumberFormat="1">
      <alignment readingOrder="0"/>
    </xf>
    <xf borderId="0" fillId="2" fontId="17" numFmtId="166" xfId="0" applyAlignment="1" applyFont="1" applyNumberFormat="1">
      <alignment readingOrder="0"/>
    </xf>
    <xf borderId="0" fillId="4" fontId="24" numFmtId="0" xfId="0" applyAlignment="1" applyFont="1">
      <alignment readingOrder="0"/>
    </xf>
    <xf borderId="0" fillId="2" fontId="25" numFmtId="0" xfId="0" applyAlignment="1" applyFont="1">
      <alignment readingOrder="0"/>
    </xf>
    <xf borderId="0" fillId="4" fontId="26" numFmtId="0" xfId="0" applyAlignment="1" applyFont="1">
      <alignment readingOrder="0"/>
    </xf>
    <xf borderId="0" fillId="2" fontId="27" numFmtId="0" xfId="0" applyAlignment="1" applyFont="1">
      <alignment readingOrder="0"/>
    </xf>
    <xf borderId="0" fillId="2" fontId="28" numFmtId="0" xfId="0" applyAlignment="1" applyFont="1">
      <alignment readingOrder="0"/>
    </xf>
    <xf borderId="0" fillId="4" fontId="17" numFmtId="167" xfId="0" applyAlignment="1" applyFont="1" applyNumberFormat="1">
      <alignment readingOrder="0"/>
    </xf>
    <xf borderId="0" fillId="2" fontId="17" numFmtId="167" xfId="0" applyAlignment="1" applyFont="1" applyNumberFormat="1">
      <alignment readingOrder="0"/>
    </xf>
    <xf borderId="0" fillId="2" fontId="17" numFmtId="168" xfId="0" applyAlignment="1" applyFont="1" applyNumberFormat="1">
      <alignment readingOrder="0"/>
    </xf>
    <xf borderId="0" fillId="4" fontId="17" numFmtId="168" xfId="0" applyAlignment="1" applyFont="1" applyNumberFormat="1">
      <alignment readingOrder="0"/>
    </xf>
    <xf borderId="0" fillId="4" fontId="29" numFmtId="0" xfId="0" applyAlignment="1" applyFont="1">
      <alignment readingOrder="0"/>
    </xf>
    <xf borderId="0" fillId="2" fontId="29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J Fadaee" id="{7ef23108-f33b-47cc-bac2-2c2289e4d0bf}" providerId="google-sheets"/>
  <x18tc:person displayName="arvinder singla" id="{b5cc5976-db03-4d7d-8843-0f468644986d}" providerId="google-sheets"/>
  <x18tc:person displayName="Cathy Chen" id="{fe79cd7e-2aad-4e2f-b7af-d703ef9cf880}" providerId="google-sheets"/>
  <x18tc:person displayName="Farbod Jahan" id="{0d7109ba-b01d-402b-bf49-5f0630b5b487}" providerId="google-sheets"/>
  <x18tc:person displayName="Lewis C. Lin" id="{d0807871-6825-438d-8bac-2665d957716d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9" dT="2018-10-15T20:23:40.00" personId="{fe79cd7e-2aad-4e2f-b7af-d703ef9cf880}" id="{278951c4-9e60-41a5-a402-14b5e9d5f21c}" done="0">
    <x18tc:text xml:space="preserve">g.co/apm</x18tc:text>
    <x18tc:extLst>
      <ext uri="{F7C98A9C-CBB3-438F-8F68-D28B6AF4A901}">
        <xltc2:checksum/>
        <xltc2:hyperlink startIndex="0" length="8" url="http://g.co/apm"/>
      </ext>
    </x18tc:extLst>
  </x18tc:threadedComment>
  <x18tc:threadedComment ref="D29" dT="2018-10-15T21:13:10.00" personId="{d0807871-6825-438d-8bac-2665d957716d}" id="{f5094110-f357-46fa-b244-6ec76b6d1c6c}" parentId="{278951c4-9e60-41a5-a402-14b5e9d5f21c}">
    <x18tc:text xml:space="preserve">Marked as resolved</x18tc:text>
  </x18tc:threadedComment>
  <x18tc:threadedComment ref="D29" dT="2018-11-08T06:03:25.00" personId="{0d7109ba-b01d-402b-bf49-5f0630b5b487}" id="{abde9ea2-59f4-4e41-8ad1-be8708b2d1d0}" parentId="{278951c4-9e60-41a5-a402-14b5e9d5f21c}">
    <x18tc:text xml:space="preserve">Re-opened</x18tc:text>
  </x18tc:threadedComment>
  <x18tc:threadedComment ref="D29" dT="2018-11-12T03:06:15.00" personId="{7ef23108-f33b-47cc-bac2-2c2289e4d0bf}" id="{1ca26b2b-47a7-49a3-a628-b463816a80e8}" parentId="{278951c4-9e60-41a5-a402-14b5e9d5f21c}">
    <x18tc:text xml:space="preserve">Marked as resolved</x18tc:text>
  </x18tc:threadedComment>
  <x18tc:threadedComment ref="D29" dT="2019-10-17T17:23:42.00" personId="{b5cc5976-db03-4d7d-8843-0f468644986d}" id="{4f5dbfbb-1420-4b60-bbca-79227138be36}" parentId="{278951c4-9e60-41a5-a402-14b5e9d5f21c}">
    <x18tc:text xml:space="preserve">Many of the job postings have been closed. We need to remove the clutter from the listings to make the sheet more relevant and usable.
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/pm-job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deed.com/viewjob?jk=2828e52bac9d6ffb&amp;tk=1cncv5t0lbup09hl&amp;from=serp&amp;vjs=3" TargetMode="External"/><Relationship Id="rId10" Type="http://schemas.openxmlformats.org/officeDocument/2006/relationships/hyperlink" Target="https://www.linkedin.com/jobs/view/product-management-mba-intern-at-verizon-wireless-815109384" TargetMode="External"/><Relationship Id="rId13" Type="http://schemas.openxmlformats.org/officeDocument/2006/relationships/hyperlink" Target="https://jobs.lever.co/zendesk/25d220f1-9872-41e1-9c35-3d3bf76a805d" TargetMode="External"/><Relationship Id="rId12" Type="http://schemas.openxmlformats.org/officeDocument/2006/relationships/hyperlink" Target="https://www.linkedin.com/jobs/view/walmart-ecommerce-mba-intern-at-walmart-839874699" TargetMode="External"/><Relationship Id="rId1" Type="http://schemas.openxmlformats.org/officeDocument/2006/relationships/hyperlink" Target="https://hire.withgoogle.com/public/jobs/duolingocom/view/P_AAAAAADAAGeO-JxIuHUY6H" TargetMode="External"/><Relationship Id="rId2" Type="http://schemas.openxmlformats.org/officeDocument/2006/relationships/hyperlink" Target="https://www.linkedin.com/jobs/view/2019-mba-summer-intern-product-manager-search-product-at-walmart-ecommerce-981772210/?utm_campaign=google_jobs_apply&amp;utm_source=google_jobs_apply&amp;utm_medium=organic" TargetMode="External"/><Relationship Id="rId3" Type="http://schemas.openxmlformats.org/officeDocument/2006/relationships/hyperlink" Target="https://www.linkedin.com/jobs/view/916810161" TargetMode="External"/><Relationship Id="rId4" Type="http://schemas.openxmlformats.org/officeDocument/2006/relationships/hyperlink" Target="https://www.linkedin.com/jobs/view/881214432" TargetMode="External"/><Relationship Id="rId9" Type="http://schemas.openxmlformats.org/officeDocument/2006/relationships/hyperlink" Target="https://www.linkedin.com/jobs/view/product-manager-intern-summer-2019-at-twilio-inc-864974421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www.linkedin.com/jobs/view/mba-masters-internship-program-at-varsity-tutors-858886463" TargetMode="External"/><Relationship Id="rId6" Type="http://schemas.openxmlformats.org/officeDocument/2006/relationships/hyperlink" Target="https://careers.microsoft.com/i/us/en/job/489295/Internship-opportunities-in-Marketing-for-MBA-students" TargetMode="External"/><Relationship Id="rId7" Type="http://schemas.openxmlformats.org/officeDocument/2006/relationships/hyperlink" Target="https://www.glassdoor.com/job-listing/mba-intern-product-management-skycatch-JV_IC1147401_KO0,29_KE30,38.htm" TargetMode="External"/><Relationship Id="rId8" Type="http://schemas.openxmlformats.org/officeDocument/2006/relationships/hyperlink" Target="https://www.themuse.com/jobs/tmobile/2019-technology-internship-mastersmba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jobs/view/associate-product-manager-at-thomson-reuters-839892792" TargetMode="External"/><Relationship Id="rId11" Type="http://schemas.openxmlformats.org/officeDocument/2006/relationships/hyperlink" Target="https://lu.linkedin.com/jobs/view/product-management-intern-at-amazon-837076407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ca.blackberry.com/company/careers/students-and-new-grads" TargetMode="External"/><Relationship Id="rId21" Type="http://schemas.openxmlformats.org/officeDocument/2006/relationships/hyperlink" Target="https://jobs.lever.co/yelp/8ac4fd83-36be-4018-90a9-ca565a5c9196" TargetMode="External"/><Relationship Id="rId13" Type="http://schemas.openxmlformats.org/officeDocument/2006/relationships/hyperlink" Target="https://www.linkedin.com/jobs/view/internship-2019-multiple-u-s-locations-product-management-at-expedia-group-859133975" TargetMode="External"/><Relationship Id="rId12" Type="http://schemas.openxmlformats.org/officeDocument/2006/relationships/hyperlink" Target="https://www.linkedin.com/jobs/view/product-management-intern-at-cisco-meraki-824358348" TargetMode="External"/><Relationship Id="rId1" Type="http://schemas.openxmlformats.org/officeDocument/2006/relationships/hyperlink" Target="https://mastercard.wd1.myworkdayjobs.com/Campus/1/refreshFacet/318c8bb6f553100021d223d9780d30be" TargetMode="External"/><Relationship Id="rId2" Type="http://schemas.openxmlformats.org/officeDocument/2006/relationships/hyperlink" Target="https://asana.com/jobs/apply/1395882/ur-product-manager-intern" TargetMode="External"/><Relationship Id="rId3" Type="http://schemas.openxmlformats.org/officeDocument/2006/relationships/hyperlink" Target="https://boards.greenhouse.io/pendo/jobs/4136451002" TargetMode="External"/><Relationship Id="rId4" Type="http://schemas.openxmlformats.org/officeDocument/2006/relationships/hyperlink" Target="https://boards.greenhouse.io/samsara/jobs/998355" TargetMode="External"/><Relationship Id="rId9" Type="http://schemas.openxmlformats.org/officeDocument/2006/relationships/hyperlink" Target="https://www.hulu.com/jobs/positions/otws8fwj/apply" TargetMode="External"/><Relationship Id="rId15" Type="http://schemas.openxmlformats.org/officeDocument/2006/relationships/hyperlink" Target="https://careers.microsoft.com/us/en/usuniversityinternship" TargetMode="External"/><Relationship Id="rId14" Type="http://schemas.openxmlformats.org/officeDocument/2006/relationships/hyperlink" Target="https://www.linkedin.com/jobs/view/associate-product-manager-intern-at-linkedin-840859804" TargetMode="External"/><Relationship Id="rId17" Type="http://schemas.openxmlformats.org/officeDocument/2006/relationships/hyperlink" Target="https://www.linkedin.com/jobs/view/associate-product-manager-intern-at-oath-862483518" TargetMode="External"/><Relationship Id="rId16" Type="http://schemas.openxmlformats.org/officeDocument/2006/relationships/hyperlink" Target="https://careers.microsoft.com/i/us/en/job/489152/Internship-opportunities-in-Marketing-for-students" TargetMode="External"/><Relationship Id="rId5" Type="http://schemas.openxmlformats.org/officeDocument/2006/relationships/hyperlink" Target="https://www.linkedin.com/jobs/view/product-manager-intern-at-asurion-887476169" TargetMode="External"/><Relationship Id="rId19" Type="http://schemas.openxmlformats.org/officeDocument/2006/relationships/hyperlink" Target="https://www.linkedin.com/jobs/view/product-management-intern-at-tableau-software-854234523" TargetMode="External"/><Relationship Id="rId6" Type="http://schemas.openxmlformats.org/officeDocument/2006/relationships/hyperlink" Target="https://www.linkedin.com/jobs/view/941586772" TargetMode="External"/><Relationship Id="rId18" Type="http://schemas.openxmlformats.org/officeDocument/2006/relationships/hyperlink" Target="http://bit.ly/2MwL7lc" TargetMode="External"/><Relationship Id="rId7" Type="http://schemas.openxmlformats.org/officeDocument/2006/relationships/hyperlink" Target="https://corp.roblox.com/jobs/?gh_jid=1290147" TargetMode="External"/><Relationship Id="rId8" Type="http://schemas.openxmlformats.org/officeDocument/2006/relationships/hyperlink" Target="https://www.startwire.com/jobs/san-francisco-ca/product-manager-intern-summer-50689875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uberapms.com/" TargetMode="External"/><Relationship Id="rId11" Type="http://schemas.openxmlformats.org/officeDocument/2006/relationships/hyperlink" Target="http://classy.org" TargetMode="External"/><Relationship Id="rId22" Type="http://schemas.openxmlformats.org/officeDocument/2006/relationships/drawing" Target="../drawings/drawing4.xml"/><Relationship Id="rId10" Type="http://schemas.openxmlformats.org/officeDocument/2006/relationships/hyperlink" Target="https://www.startwire.com/jobs/pleasanton-ca/associate-product-manager-51264891" TargetMode="External"/><Relationship Id="rId21" Type="http://schemas.openxmlformats.org/officeDocument/2006/relationships/hyperlink" Target="https://jobs.smartrecruiters.com/Visa/743999685341163-associate-product-manager-multiple-locations-?trid=d131e4ae-a1f9-4746-a100-6b5cd183a8b5" TargetMode="External"/><Relationship Id="rId13" Type="http://schemas.openxmlformats.org/officeDocument/2006/relationships/hyperlink" Target="https://asana.com/jobs/apply/1326087/associate-product-manager--new-grad-" TargetMode="External"/><Relationship Id="rId12" Type="http://schemas.openxmlformats.org/officeDocument/2006/relationships/hyperlink" Target="https://redfin.wd1.myworkdayjobs.com/redfin_careers/job/WA---Seattle/Product-Manager-I---Seattle---San-Francisco_18452-1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stercard.wd1.myworkdayjobs.com/Campus/1/refreshFacet/318c8bb6f553100021d223d9780d30be" TargetMode="External"/><Relationship Id="rId9" Type="http://schemas.openxmlformats.org/officeDocument/2006/relationships/hyperlink" Target="https://www.linkedin.com/jobs/view/associate-game-product-manager-at-electronic-arts-923827501/" TargetMode="External"/><Relationship Id="rId15" Type="http://schemas.openxmlformats.org/officeDocument/2006/relationships/hyperlink" Target="https://salesforce.wd1.myworkdayjobs.com/en-US/External_Career_Site/job/California---San-Francisco/Associate-Product-Manager--APM-_JR22717" TargetMode="External"/><Relationship Id="rId14" Type="http://schemas.openxmlformats.org/officeDocument/2006/relationships/hyperlink" Target="https://www.ixl.com/company/jobs?gh_jid=4052296002" TargetMode="External"/><Relationship Id="rId17" Type="http://schemas.openxmlformats.org/officeDocument/2006/relationships/hyperlink" Target="https://oath.wd5.myworkdayjobs.com/en-US/careers/job/US---Sunnyvale/Associate-Product-Manager_JR0005324" TargetMode="External"/><Relationship Id="rId16" Type="http://schemas.openxmlformats.org/officeDocument/2006/relationships/hyperlink" Target="https://careers.linkedin.com/apm" TargetMode="External"/><Relationship Id="rId5" Type="http://schemas.openxmlformats.org/officeDocument/2006/relationships/hyperlink" Target="https://asana.com/jobs/apply/1326087/ur-associate-product-manager-new-grads" TargetMode="External"/><Relationship Id="rId19" Type="http://schemas.openxmlformats.org/officeDocument/2006/relationships/hyperlink" Target="http://g.co/apm" TargetMode="External"/><Relationship Id="rId6" Type="http://schemas.openxmlformats.org/officeDocument/2006/relationships/hyperlink" Target="https://careers.microsoft.com/i/us/en/job/489150/Full-time-opportunities-in-Marketing-for-students-recent-graduates" TargetMode="External"/><Relationship Id="rId18" Type="http://schemas.openxmlformats.org/officeDocument/2006/relationships/hyperlink" Target="https://careers.google.com/jobs/results/73278368214065862/" TargetMode="External"/><Relationship Id="rId7" Type="http://schemas.openxmlformats.org/officeDocument/2006/relationships/hyperlink" Target="https://www.linkedin.com/jobs/view/associate-product-manager-ads-at-pandora-970913263" TargetMode="External"/><Relationship Id="rId8" Type="http://schemas.openxmlformats.org/officeDocument/2006/relationships/hyperlink" Target="https://www.zynga.com/careers/university" TargetMode="External"/></Relationships>
</file>

<file path=xl/worksheets/_rels/sheet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5.xml"/><Relationship Id="rId1" Type="http://schemas.openxmlformats.org/officeDocument/2006/relationships/hyperlink" Target="https://www.amazon.jobs/en/teams/mba-full-time" TargetMode="External"/><Relationship Id="rId2" Type="http://schemas.openxmlformats.org/officeDocument/2006/relationships/hyperlink" Target="https://careers.google.com/jobs" TargetMode="External"/><Relationship Id="rId3" Type="http://schemas.openxmlformats.org/officeDocument/2006/relationships/hyperlink" Target="https://sjobs.brassring.com/TGnewUI/Search/home/HomeWithPreLoad?PageType=JobDetails&amp;noback=0&amp;partnerid=25222&amp;siteid=5022&amp;jobid=1226603" TargetMode="External"/><Relationship Id="rId4" Type="http://schemas.openxmlformats.org/officeDocument/2006/relationships/hyperlink" Target="https://jobs.lever.co/yelp/407a0925-fe29-4e17-9fbb-8c4e4ed6edda" TargetMode="External"/><Relationship Id="rId9" Type="http://schemas.openxmlformats.org/officeDocument/2006/relationships/hyperlink" Target="https://hire.withgoogle.com/public/jobs/duolingocom/view/P_AAAAAADAAGeBh5BEEmhZpn" TargetMode="External"/><Relationship Id="rId5" Type="http://schemas.openxmlformats.org/officeDocument/2006/relationships/hyperlink" Target="https://boards.greenhouse.io/boxinc/jobs/1298417" TargetMode="External"/><Relationship Id="rId6" Type="http://schemas.openxmlformats.org/officeDocument/2006/relationships/hyperlink" Target="https://www.dropbox.com/jobs/listing/1249174" TargetMode="External"/><Relationship Id="rId7" Type="http://schemas.openxmlformats.org/officeDocument/2006/relationships/hyperlink" Target="https://careers.tripadvisor.com/job/TRINUS772/Product-Manager-MBA-Rotation-Program-2019" TargetMode="External"/><Relationship Id="rId8" Type="http://schemas.openxmlformats.org/officeDocument/2006/relationships/hyperlink" Target="https://careers.microsoft.com/i/us/en/job/489293/Full-time-opportunities-in-Marketing-for-MBA-students-recent-graduates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producthired.com/job/fast-radius-product-leader/" TargetMode="External"/><Relationship Id="rId190" Type="http://schemas.openxmlformats.org/officeDocument/2006/relationships/hyperlink" Target="https://www.producthired.com/job/vp-product-management-amobee/" TargetMode="External"/><Relationship Id="rId42" Type="http://schemas.openxmlformats.org/officeDocument/2006/relationships/hyperlink" Target="https://producthired.com/job/goodway-group-technical-product-manager/" TargetMode="External"/><Relationship Id="rId41" Type="http://schemas.openxmlformats.org/officeDocument/2006/relationships/hyperlink" Target="https://producthired.com/job/football-whispers-product-manager/" TargetMode="External"/><Relationship Id="rId44" Type="http://schemas.openxmlformats.org/officeDocument/2006/relationships/hyperlink" Target="https://producthired.com/job/yelp-product-manager-2/" TargetMode="External"/><Relationship Id="rId194" Type="http://schemas.openxmlformats.org/officeDocument/2006/relationships/hyperlink" Target="https://www.producthired.com/job/surveymonkey-product-manager/" TargetMode="External"/><Relationship Id="rId43" Type="http://schemas.openxmlformats.org/officeDocument/2006/relationships/hyperlink" Target="https://producthired.com/job/snyk-product-manager/" TargetMode="External"/><Relationship Id="rId193" Type="http://schemas.openxmlformats.org/officeDocument/2006/relationships/hyperlink" Target="https://www.producthired.com/job/product-manager-oath/" TargetMode="External"/><Relationship Id="rId46" Type="http://schemas.openxmlformats.org/officeDocument/2006/relationships/hyperlink" Target="https://producthired.com/job/airbnb-product-manager-homes-host" TargetMode="External"/><Relationship Id="rId192" Type="http://schemas.openxmlformats.org/officeDocument/2006/relationships/hyperlink" Target="https://www.producthired.com/job/product-manager-namely/" TargetMode="External"/><Relationship Id="rId45" Type="http://schemas.openxmlformats.org/officeDocument/2006/relationships/hyperlink" Target="https://producthired.com/job/adobe-product-manager-security-magento" TargetMode="External"/><Relationship Id="rId191" Type="http://schemas.openxmlformats.org/officeDocument/2006/relationships/hyperlink" Target="https://www.producthired.com/job/gwynnie-bee-senior-product-manager/" TargetMode="External"/><Relationship Id="rId48" Type="http://schemas.openxmlformats.org/officeDocument/2006/relationships/hyperlink" Target="https://producthired.com/job/elsevier-senior-product-manager" TargetMode="External"/><Relationship Id="rId187" Type="http://schemas.openxmlformats.org/officeDocument/2006/relationships/hyperlink" Target="https://www.linkedin.com/jobs/view/956174255" TargetMode="External"/><Relationship Id="rId47" Type="http://schemas.openxmlformats.org/officeDocument/2006/relationships/hyperlink" Target="https://careers-cambiahealth.icims.com/jobs/25094/product-manager%2c-data-science-%26-ai/job" TargetMode="External"/><Relationship Id="rId186" Type="http://schemas.openxmlformats.org/officeDocument/2006/relationships/hyperlink" Target="https://www.linkedin.com/comm/jobs/view/952874696" TargetMode="External"/><Relationship Id="rId185" Type="http://schemas.openxmlformats.org/officeDocument/2006/relationships/hyperlink" Target="https://www.linkedin.com/comm/jobs/view/791046427" TargetMode="External"/><Relationship Id="rId49" Type="http://schemas.openxmlformats.org/officeDocument/2006/relationships/hyperlink" Target="https://producthired.com/job/eventbrite-madrid-senior-product-manager" TargetMode="External"/><Relationship Id="rId184" Type="http://schemas.openxmlformats.org/officeDocument/2006/relationships/hyperlink" Target="https://www.linkedin.com/comm/jobs/view/946732181" TargetMode="External"/><Relationship Id="rId189" Type="http://schemas.openxmlformats.org/officeDocument/2006/relationships/hyperlink" Target="https://www.linkedin.com/jobs/view/953065285" TargetMode="External"/><Relationship Id="rId188" Type="http://schemas.openxmlformats.org/officeDocument/2006/relationships/hyperlink" Target="https://www.linkedin.com/jobs/view/887700992" TargetMode="External"/><Relationship Id="rId31" Type="http://schemas.openxmlformats.org/officeDocument/2006/relationships/hyperlink" Target="https://producthired.com/job/sago-mini-digital-product-manager/" TargetMode="External"/><Relationship Id="rId30" Type="http://schemas.openxmlformats.org/officeDocument/2006/relationships/hyperlink" Target="https://producthired.com/job/instacart-senior-product-manager/" TargetMode="External"/><Relationship Id="rId33" Type="http://schemas.openxmlformats.org/officeDocument/2006/relationships/hyperlink" Target="https://producthired.com/job/product-manager-tripadvisor/" TargetMode="External"/><Relationship Id="rId183" Type="http://schemas.openxmlformats.org/officeDocument/2006/relationships/hyperlink" Target="https://www.linkedin.com/comm/jobs/view/942945117" TargetMode="External"/><Relationship Id="rId32" Type="http://schemas.openxmlformats.org/officeDocument/2006/relationships/hyperlink" Target="https://producthired.com/job/snyk-product-manager-team-enterprise/" TargetMode="External"/><Relationship Id="rId182" Type="http://schemas.openxmlformats.org/officeDocument/2006/relationships/hyperlink" Target="https://www.linkedin.com/comm/jobs/view/936177095" TargetMode="External"/><Relationship Id="rId35" Type="http://schemas.openxmlformats.org/officeDocument/2006/relationships/hyperlink" Target="https://producthired.com/job/wazoku-product-manager/" TargetMode="External"/><Relationship Id="rId181" Type="http://schemas.openxmlformats.org/officeDocument/2006/relationships/hyperlink" Target="https://www.producthired.com/job/senior-product-manager-udacity/" TargetMode="External"/><Relationship Id="rId34" Type="http://schemas.openxmlformats.org/officeDocument/2006/relationships/hyperlink" Target="https://producthired.com/job/senior-product-manager-twitch/" TargetMode="External"/><Relationship Id="rId180" Type="http://schemas.openxmlformats.org/officeDocument/2006/relationships/hyperlink" Target="https://www.producthired.com/job/product-manager-tripactions/" TargetMode="External"/><Relationship Id="rId37" Type="http://schemas.openxmlformats.org/officeDocument/2006/relationships/hyperlink" Target="https://producthired.com/job/zesty-sr-product-manager/" TargetMode="External"/><Relationship Id="rId176" Type="http://schemas.openxmlformats.org/officeDocument/2006/relationships/hyperlink" Target="https://www.producthired.com/job/senior-product-manager-amazon/" TargetMode="External"/><Relationship Id="rId36" Type="http://schemas.openxmlformats.org/officeDocument/2006/relationships/hyperlink" Target="http://zesty.ai" TargetMode="External"/><Relationship Id="rId175" Type="http://schemas.openxmlformats.org/officeDocument/2006/relationships/hyperlink" Target="https://www.linkedin.com/jobs/view/product-manager-api-sdk-at-hiya-939472815" TargetMode="External"/><Relationship Id="rId39" Type="http://schemas.openxmlformats.org/officeDocument/2006/relationships/hyperlink" Target="https://producthired.com/job/dave-com-product-manager-growth/" TargetMode="External"/><Relationship Id="rId174" Type="http://schemas.openxmlformats.org/officeDocument/2006/relationships/hyperlink" Target="https://www.producthired.com/job/surveymonkey-product-manager-platform/" TargetMode="External"/><Relationship Id="rId38" Type="http://schemas.openxmlformats.org/officeDocument/2006/relationships/hyperlink" Target="http://dave.com" TargetMode="External"/><Relationship Id="rId173" Type="http://schemas.openxmlformats.org/officeDocument/2006/relationships/hyperlink" Target="https://www.producthired.com/job/shutterfly-senior-director-product/" TargetMode="External"/><Relationship Id="rId179" Type="http://schemas.openxmlformats.org/officeDocument/2006/relationships/hyperlink" Target="https://www.producthired.com/job/group-product-manager-groupon/" TargetMode="External"/><Relationship Id="rId178" Type="http://schemas.openxmlformats.org/officeDocument/2006/relationships/hyperlink" Target="https://www.producthired.com/job/senior-product-manager-boosted/" TargetMode="External"/><Relationship Id="rId177" Type="http://schemas.openxmlformats.org/officeDocument/2006/relationships/hyperlink" Target="https://www.producthired.com/job/asana-product-manager/" TargetMode="External"/><Relationship Id="rId20" Type="http://schemas.openxmlformats.org/officeDocument/2006/relationships/hyperlink" Target="https://producthired.com/job/capitalone-senior-product-manager/" TargetMode="External"/><Relationship Id="rId22" Type="http://schemas.openxmlformats.org/officeDocument/2006/relationships/hyperlink" Target="https://producthired.com/job/ebay-sr-product-manager/" TargetMode="External"/><Relationship Id="rId21" Type="http://schemas.openxmlformats.org/officeDocument/2006/relationships/hyperlink" Target="https://producthired.com/job/chegg-product-manager/" TargetMode="External"/><Relationship Id="rId24" Type="http://schemas.openxmlformats.org/officeDocument/2006/relationships/hyperlink" Target="https://producthired.com/job/lyft-product-manager-3/" TargetMode="External"/><Relationship Id="rId23" Type="http://schemas.openxmlformats.org/officeDocument/2006/relationships/hyperlink" Target="https://producthired.com/job/hp-product-manager/" TargetMode="External"/><Relationship Id="rId26" Type="http://schemas.openxmlformats.org/officeDocument/2006/relationships/hyperlink" Target="https://producthired.com/job/zoomvideocommunications-product-manager/" TargetMode="External"/><Relationship Id="rId25" Type="http://schemas.openxmlformats.org/officeDocument/2006/relationships/hyperlink" Target="https://producthired.com/job/reflektive-product-marketing-manager/" TargetMode="External"/><Relationship Id="rId28" Type="http://schemas.openxmlformats.org/officeDocument/2006/relationships/hyperlink" Target="https://producthired.com/job/apple-product-manager/" TargetMode="External"/><Relationship Id="rId27" Type="http://schemas.openxmlformats.org/officeDocument/2006/relationships/hyperlink" Target="https://producthired.com/job/citrusbyte-senior-product-manager-remote/" TargetMode="External"/><Relationship Id="rId29" Type="http://schemas.openxmlformats.org/officeDocument/2006/relationships/hyperlink" Target="https://producthired.com/job/dell-product-manager-support-deployment/" TargetMode="External"/><Relationship Id="rId11" Type="http://schemas.openxmlformats.org/officeDocument/2006/relationships/hyperlink" Target="https://grnh.se/10b1cbd91" TargetMode="External"/><Relationship Id="rId10" Type="http://schemas.openxmlformats.org/officeDocument/2006/relationships/hyperlink" Target="https://grnh.se/b67553e51" TargetMode="External"/><Relationship Id="rId13" Type="http://schemas.openxmlformats.org/officeDocument/2006/relationships/hyperlink" Target="https://producthired.com/job/carvana-product-manager/" TargetMode="External"/><Relationship Id="rId12" Type="http://schemas.openxmlformats.org/officeDocument/2006/relationships/hyperlink" Target="https://jobs.lever.co/hellosign/7e2c1e05-6b80-4268-910e-56d67896ae3d" TargetMode="External"/><Relationship Id="rId15" Type="http://schemas.openxmlformats.org/officeDocument/2006/relationships/hyperlink" Target="https://producthired.com/job/customer-alliance-head-of-product/" TargetMode="External"/><Relationship Id="rId198" Type="http://schemas.openxmlformats.org/officeDocument/2006/relationships/hyperlink" Target="https://www.producthired.com/job/product-manager-hub/" TargetMode="External"/><Relationship Id="rId14" Type="http://schemas.openxmlformats.org/officeDocument/2006/relationships/hyperlink" Target="https://producthired.com/job/cisco-senior-product-manager/" TargetMode="External"/><Relationship Id="rId197" Type="http://schemas.openxmlformats.org/officeDocument/2006/relationships/hyperlink" Target="https://www.producthired.com/job/disney-product-manager/" TargetMode="External"/><Relationship Id="rId17" Type="http://schemas.openxmlformats.org/officeDocument/2006/relationships/hyperlink" Target="https://producthired.com/job/google-product-marketing-manager/" TargetMode="External"/><Relationship Id="rId196" Type="http://schemas.openxmlformats.org/officeDocument/2006/relationships/hyperlink" Target="https://www.producthired.com/job/cisco-senior-product-manager/" TargetMode="External"/><Relationship Id="rId16" Type="http://schemas.openxmlformats.org/officeDocument/2006/relationships/hyperlink" Target="https://producthired.com/job/facebook-product-manager/" TargetMode="External"/><Relationship Id="rId195" Type="http://schemas.openxmlformats.org/officeDocument/2006/relationships/hyperlink" Target="https://www.producthired.com/job/toptal-product-manager/" TargetMode="External"/><Relationship Id="rId19" Type="http://schemas.openxmlformats.org/officeDocument/2006/relationships/hyperlink" Target="https://producthired.com/job/twitter-product-manager/" TargetMode="External"/><Relationship Id="rId18" Type="http://schemas.openxmlformats.org/officeDocument/2006/relationships/hyperlink" Target="https://producthired.com/job/massdrop-senior-product-manager/" TargetMode="External"/><Relationship Id="rId199" Type="http://schemas.openxmlformats.org/officeDocument/2006/relationships/hyperlink" Target="https://www.producthired.com/job/nerdwallet-product-manager/" TargetMode="External"/><Relationship Id="rId84" Type="http://schemas.openxmlformats.org/officeDocument/2006/relationships/hyperlink" Target="https://www.23andme.com/careers/4099284002/" TargetMode="External"/><Relationship Id="rId83" Type="http://schemas.openxmlformats.org/officeDocument/2006/relationships/hyperlink" Target="https://xebialabs.com/company/careers/product-manager-integrations/" TargetMode="External"/><Relationship Id="rId86" Type="http://schemas.openxmlformats.org/officeDocument/2006/relationships/hyperlink" Target="https://www.algolia.com/careers" TargetMode="External"/><Relationship Id="rId85" Type="http://schemas.openxmlformats.org/officeDocument/2006/relationships/hyperlink" Target="https://www.algolia.com/careers" TargetMode="External"/><Relationship Id="rId88" Type="http://schemas.openxmlformats.org/officeDocument/2006/relationships/hyperlink" Target="https://boards.greenhouse.io/andela/jobs/1273338" TargetMode="External"/><Relationship Id="rId150" Type="http://schemas.openxmlformats.org/officeDocument/2006/relationships/hyperlink" Target="https://boards.greenhouse.io/samsara/jobs/997785" TargetMode="External"/><Relationship Id="rId87" Type="http://schemas.openxmlformats.org/officeDocument/2006/relationships/hyperlink" Target="https://www.algolia.com/careers" TargetMode="External"/><Relationship Id="rId89" Type="http://schemas.openxmlformats.org/officeDocument/2006/relationships/hyperlink" Target="https://boards.greenhouse.io/andela/jobs/1168334" TargetMode="External"/><Relationship Id="rId80" Type="http://schemas.openxmlformats.org/officeDocument/2006/relationships/hyperlink" Target="https://www.uipath.com/company/jobs?page=product-marketing-manager-solutions/2564/" TargetMode="External"/><Relationship Id="rId82" Type="http://schemas.openxmlformats.org/officeDocument/2006/relationships/hyperlink" Target="https://www.uipath.com/company/jobs?page=senior-product-manager-banking/529/" TargetMode="External"/><Relationship Id="rId81" Type="http://schemas.openxmlformats.org/officeDocument/2006/relationships/hyperlink" Target="https://www.uipath.com/company/jobs?page=healthcare-product-manager/531/" TargetMode="External"/><Relationship Id="rId1" Type="http://schemas.openxmlformats.org/officeDocument/2006/relationships/hyperlink" Target="https://www.hulu.com/jobs/positions/orzqbfwl" TargetMode="External"/><Relationship Id="rId2" Type="http://schemas.openxmlformats.org/officeDocument/2006/relationships/hyperlink" Target="https://www.facebook.com/careers/jobs/640454049701978/?hc_location=ufi" TargetMode="External"/><Relationship Id="rId3" Type="http://schemas.openxmlformats.org/officeDocument/2006/relationships/hyperlink" Target="https://ea.gr8people.com/index.gp?method=cappportal.showJob&amp;opportunityID=157332&amp;sid=" TargetMode="External"/><Relationship Id="rId149" Type="http://schemas.openxmlformats.org/officeDocument/2006/relationships/hyperlink" Target="https://boards.greenhouse.io/samsara/jobs/1106432" TargetMode="External"/><Relationship Id="rId4" Type="http://schemas.openxmlformats.org/officeDocument/2006/relationships/hyperlink" Target="https://www.verizon.com/about/work/jobs/4173810-technical-product-manager-cloud-storage-infrastructure" TargetMode="External"/><Relationship Id="rId148" Type="http://schemas.openxmlformats.org/officeDocument/2006/relationships/hyperlink" Target="https://boards.greenhouse.io/samsara/jobs/1399604" TargetMode="External"/><Relationship Id="rId9" Type="http://schemas.openxmlformats.org/officeDocument/2006/relationships/hyperlink" Target="https://grnh.se/84bdcffd1" TargetMode="External"/><Relationship Id="rId143" Type="http://schemas.openxmlformats.org/officeDocument/2006/relationships/hyperlink" Target="https://www.joinroot.com/careers/6652dcbc-df63-4156-b54c-b4723092ec46" TargetMode="External"/><Relationship Id="rId142" Type="http://schemas.openxmlformats.org/officeDocument/2006/relationships/hyperlink" Target="https://www.procore.com/jobs/openings/1424232" TargetMode="External"/><Relationship Id="rId141" Type="http://schemas.openxmlformats.org/officeDocument/2006/relationships/hyperlink" Target="https://www.procore.com/jobs/openings/1191733" TargetMode="External"/><Relationship Id="rId140" Type="http://schemas.openxmlformats.org/officeDocument/2006/relationships/hyperlink" Target="https://www.procore.com/jobs/openings/1336215" TargetMode="External"/><Relationship Id="rId5" Type="http://schemas.openxmlformats.org/officeDocument/2006/relationships/hyperlink" Target="https://www.spotifyjobs.com/job/product-manager-creator-core-obogafwz/" TargetMode="External"/><Relationship Id="rId147" Type="http://schemas.openxmlformats.org/officeDocument/2006/relationships/hyperlink" Target="https://boards.greenhouse.io/samsara/jobs/1109136" TargetMode="External"/><Relationship Id="rId6" Type="http://schemas.openxmlformats.org/officeDocument/2006/relationships/hyperlink" Target="http://pro.com" TargetMode="External"/><Relationship Id="rId146" Type="http://schemas.openxmlformats.org/officeDocument/2006/relationships/hyperlink" Target="https://boards.greenhouse.io/samsara/jobs/692811" TargetMode="External"/><Relationship Id="rId7" Type="http://schemas.openxmlformats.org/officeDocument/2006/relationships/hyperlink" Target="https://boards.greenhouse.io/procom/jobs/4306788002" TargetMode="External"/><Relationship Id="rId145" Type="http://schemas.openxmlformats.org/officeDocument/2006/relationships/hyperlink" Target="https://boards.greenhouse.io/samsara/jobs/1484391" TargetMode="External"/><Relationship Id="rId8" Type="http://schemas.openxmlformats.org/officeDocument/2006/relationships/hyperlink" Target="https://www.linkedin.com/jobs/view/1267707471/" TargetMode="External"/><Relationship Id="rId144" Type="http://schemas.openxmlformats.org/officeDocument/2006/relationships/hyperlink" Target="https://www.joinroot.com/careers/57bcc8f9-473f-47e8-8279-61e4fecd5472" TargetMode="External"/><Relationship Id="rId73" Type="http://schemas.openxmlformats.org/officeDocument/2006/relationships/hyperlink" Target="https://www.synack.com/company/careers/1415523/" TargetMode="External"/><Relationship Id="rId72" Type="http://schemas.openxmlformats.org/officeDocument/2006/relationships/hyperlink" Target="https://boards.greenhouse.io/sonder/jobs/4131944002" TargetMode="External"/><Relationship Id="rId75" Type="http://schemas.openxmlformats.org/officeDocument/2006/relationships/hyperlink" Target="https://www.uipath.com/company/jobs?page=product-manager-enabling-technologies/2596/" TargetMode="External"/><Relationship Id="rId74" Type="http://schemas.openxmlformats.org/officeDocument/2006/relationships/hyperlink" Target="https://boards.greenhouse.io/tripactions/jobs/859268" TargetMode="External"/><Relationship Id="rId77" Type="http://schemas.openxmlformats.org/officeDocument/2006/relationships/hyperlink" Target="https://www.uipath.com/company/jobs?page=product-marketing-manager-solutions/2173/" TargetMode="External"/><Relationship Id="rId76" Type="http://schemas.openxmlformats.org/officeDocument/2006/relationships/hyperlink" Target="https://www.uipath.com/company/jobs?page=product-marketing-content-manager/2376/" TargetMode="External"/><Relationship Id="rId79" Type="http://schemas.openxmlformats.org/officeDocument/2006/relationships/hyperlink" Target="https://www.uipath.com/company/jobs?page=product-manager/111/" TargetMode="External"/><Relationship Id="rId78" Type="http://schemas.openxmlformats.org/officeDocument/2006/relationships/hyperlink" Target="https://www.uipath.com/company/jobs?page=product-manager/2603/" TargetMode="External"/><Relationship Id="rId71" Type="http://schemas.openxmlformats.org/officeDocument/2006/relationships/hyperlink" Target="https://boards.greenhouse.io/sonder/jobs/4141990002" TargetMode="External"/><Relationship Id="rId70" Type="http://schemas.openxmlformats.org/officeDocument/2006/relationships/hyperlink" Target="https://jobs.lever.co/signalfx/fd5dcfe3-2f60-4a61-81ef-b500102db1e6" TargetMode="External"/><Relationship Id="rId139" Type="http://schemas.openxmlformats.org/officeDocument/2006/relationships/hyperlink" Target="https://hire.withgoogle.com/public/jobs/podiumcom/view/P_AAAAAACAAEnK5PijmUiOCy" TargetMode="External"/><Relationship Id="rId138" Type="http://schemas.openxmlformats.org/officeDocument/2006/relationships/hyperlink" Target="https://jobs.lever.co/quora/1f028433-9835-4d65-aa66-477865a17dda" TargetMode="External"/><Relationship Id="rId137" Type="http://schemas.openxmlformats.org/officeDocument/2006/relationships/hyperlink" Target="https://jobs.lever.co/quora/ecb6f07e-54b9-4ce1-8f46-7b0ef398ae0c" TargetMode="External"/><Relationship Id="rId132" Type="http://schemas.openxmlformats.org/officeDocument/2006/relationships/hyperlink" Target="https://boards.greenhouse.io/pendo/jobs/4093261002" TargetMode="External"/><Relationship Id="rId253" Type="http://schemas.openxmlformats.org/officeDocument/2006/relationships/hyperlink" Target="https://www.shopify.com/careers/product-manager-shopify-plus-880b50" TargetMode="External"/><Relationship Id="rId131" Type="http://schemas.openxmlformats.org/officeDocument/2006/relationships/hyperlink" Target="https://boards.greenhouse.io/pendo/jobs/4097956002" TargetMode="External"/><Relationship Id="rId252" Type="http://schemas.openxmlformats.org/officeDocument/2006/relationships/hyperlink" Target="https://jobs.lever.co/quora/7e2917c3-ea25-4f87-b728-4f7383861e81" TargetMode="External"/><Relationship Id="rId130" Type="http://schemas.openxmlformats.org/officeDocument/2006/relationships/hyperlink" Target="https://jobs.lever.co/panzura/ee516af5-1f87-4cde-a37c-b737f85c11ff" TargetMode="External"/><Relationship Id="rId251" Type="http://schemas.openxmlformats.org/officeDocument/2006/relationships/hyperlink" Target="https://angel.co/robinhood/jobs/296249-product-manager" TargetMode="External"/><Relationship Id="rId250" Type="http://schemas.openxmlformats.org/officeDocument/2006/relationships/hyperlink" Target="https://boards.greenhouse.io/poshmark/jobs/1325051" TargetMode="External"/><Relationship Id="rId136" Type="http://schemas.openxmlformats.org/officeDocument/2006/relationships/hyperlink" Target="https://jobs.lever.co/quora/a9e1fe36-7571-404a-93ef-b6413fb58c5c" TargetMode="External"/><Relationship Id="rId135" Type="http://schemas.openxmlformats.org/officeDocument/2006/relationships/hyperlink" Target="https://jobs.lever.co/quora/7e2917c3-ea25-4f87-b728-4f7383861e81" TargetMode="External"/><Relationship Id="rId134" Type="http://schemas.openxmlformats.org/officeDocument/2006/relationships/hyperlink" Target="https://jobs.lever.co/plaid/5292e8a7-1938-4a26-b188-b83c8549ffd8" TargetMode="External"/><Relationship Id="rId255" Type="http://schemas.openxmlformats.org/officeDocument/2006/relationships/drawing" Target="../drawings/drawing6.xml"/><Relationship Id="rId133" Type="http://schemas.openxmlformats.org/officeDocument/2006/relationships/hyperlink" Target="https://boards.greenhouse.io/pendo/jobs/4113146002" TargetMode="External"/><Relationship Id="rId254" Type="http://schemas.openxmlformats.org/officeDocument/2006/relationships/hyperlink" Target="https://angel.co/textio/jobs/414031-product-manager" TargetMode="External"/><Relationship Id="rId62" Type="http://schemas.openxmlformats.org/officeDocument/2006/relationships/hyperlink" Target="https://producthired.com/job/paypal-senior-product-manager/" TargetMode="External"/><Relationship Id="rId61" Type="http://schemas.openxmlformats.org/officeDocument/2006/relationships/hyperlink" Target="https://hiya.com/uk/open-positions?p=job%2Fof8k8fwz" TargetMode="External"/><Relationship Id="rId64" Type="http://schemas.openxmlformats.org/officeDocument/2006/relationships/hyperlink" Target="https://producthired.com/job/slack-product-manager/" TargetMode="External"/><Relationship Id="rId63" Type="http://schemas.openxmlformats.org/officeDocument/2006/relationships/hyperlink" Target="https://producthired.com/job/safeway-senior-product-manager/" TargetMode="External"/><Relationship Id="rId66" Type="http://schemas.openxmlformats.org/officeDocument/2006/relationships/hyperlink" Target="https://angel.co/skilljar/jobs/480500-director-product" TargetMode="External"/><Relationship Id="rId172" Type="http://schemas.openxmlformats.org/officeDocument/2006/relationships/hyperlink" Target="https://www.producthired.com/job/nest-senior-prod%E2%80%A6arketing-manager/" TargetMode="External"/><Relationship Id="rId65" Type="http://schemas.openxmlformats.org/officeDocument/2006/relationships/hyperlink" Target="https://producthired.com/job/thomsonreuters-product-manager/" TargetMode="External"/><Relationship Id="rId171" Type="http://schemas.openxmlformats.org/officeDocument/2006/relationships/hyperlink" Target="https://www.producthired.com/job/flexport-director-product/" TargetMode="External"/><Relationship Id="rId68" Type="http://schemas.openxmlformats.org/officeDocument/2006/relationships/hyperlink" Target="https://www.signalsciences.com/careers/product-manager-agents-modules/" TargetMode="External"/><Relationship Id="rId170" Type="http://schemas.openxmlformats.org/officeDocument/2006/relationships/hyperlink" Target="https://www.producthired.com/job/fanatics-product-manager/" TargetMode="External"/><Relationship Id="rId67" Type="http://schemas.openxmlformats.org/officeDocument/2006/relationships/hyperlink" Target="https://angel.co/waypoint-building/jobs/476929-product-manager-data-platform" TargetMode="External"/><Relationship Id="rId60" Type="http://schemas.openxmlformats.org/officeDocument/2006/relationships/hyperlink" Target="https://producthired.com/job/cisco-product-manager-2/" TargetMode="External"/><Relationship Id="rId165" Type="http://schemas.openxmlformats.org/officeDocument/2006/relationships/hyperlink" Target="https://www.producthired.com/job/product-manager-linkedin/" TargetMode="External"/><Relationship Id="rId69" Type="http://schemas.openxmlformats.org/officeDocument/2006/relationships/hyperlink" Target="https://www.signalsciences.com/careers/product-manager-insights/" TargetMode="External"/><Relationship Id="rId164" Type="http://schemas.openxmlformats.org/officeDocument/2006/relationships/hyperlink" Target="https://www.producthired.com/job/product-manager-crowdstrike/" TargetMode="External"/><Relationship Id="rId163" Type="http://schemas.openxmlformats.org/officeDocument/2006/relationships/hyperlink" Target="https://www.producthired.com/job/product-manager-affirm/" TargetMode="External"/><Relationship Id="rId162" Type="http://schemas.openxmlformats.org/officeDocument/2006/relationships/hyperlink" Target="https://www.producthired.com/job/priceline-product-manager/" TargetMode="External"/><Relationship Id="rId169" Type="http://schemas.openxmlformats.org/officeDocument/2006/relationships/hyperlink" Target="https://www.producthired.com/job/facebook-product-manager-core/" TargetMode="External"/><Relationship Id="rId168" Type="http://schemas.openxmlformats.org/officeDocument/2006/relationships/hyperlink" Target="https://www.producthired.com/job/thumbtack-product-manager-sf/" TargetMode="External"/><Relationship Id="rId167" Type="http://schemas.openxmlformats.org/officeDocument/2006/relationships/hyperlink" Target="https://www.producthired.com/job/quantum-digital-product-manager/" TargetMode="External"/><Relationship Id="rId166" Type="http://schemas.openxmlformats.org/officeDocument/2006/relationships/hyperlink" Target="https://www.producthired.com/job/product-manager-pure-storage/" TargetMode="External"/><Relationship Id="rId51" Type="http://schemas.openxmlformats.org/officeDocument/2006/relationships/hyperlink" Target="https://producthired.com/job/nerdwallet-senior-product-manager" TargetMode="External"/><Relationship Id="rId50" Type="http://schemas.openxmlformats.org/officeDocument/2006/relationships/hyperlink" Target="https://producthired.com/job/honey-product-manager/" TargetMode="External"/><Relationship Id="rId53" Type="http://schemas.openxmlformats.org/officeDocument/2006/relationships/hyperlink" Target="https://producthired.com/job/bird-eye-director-product-management" TargetMode="External"/><Relationship Id="rId52" Type="http://schemas.openxmlformats.org/officeDocument/2006/relationships/hyperlink" Target="https://producthired.com/job/npr-product-manager-voice-platforms" TargetMode="External"/><Relationship Id="rId55" Type="http://schemas.openxmlformats.org/officeDocument/2006/relationships/hyperlink" Target="https://producthired.com/job/intuit-director-product-management" TargetMode="External"/><Relationship Id="rId161" Type="http://schemas.openxmlformats.org/officeDocument/2006/relationships/hyperlink" Target="https://www.producthired.com/job/ondeck-senior-product-manager/" TargetMode="External"/><Relationship Id="rId54" Type="http://schemas.openxmlformats.org/officeDocument/2006/relationships/hyperlink" Target="https://producthired.com/job/dropbox-product-manager" TargetMode="External"/><Relationship Id="rId160" Type="http://schemas.openxmlformats.org/officeDocument/2006/relationships/hyperlink" Target="https://www.producthired.com/job/gopro-senior-product-manager/" TargetMode="External"/><Relationship Id="rId57" Type="http://schemas.openxmlformats.org/officeDocument/2006/relationships/hyperlink" Target="https://producthired.com/job/pitch-senior-product-manager" TargetMode="External"/><Relationship Id="rId56" Type="http://schemas.openxmlformats.org/officeDocument/2006/relationships/hyperlink" Target="https://producthired.com/job/paypal-senior-product-manager-2" TargetMode="External"/><Relationship Id="rId159" Type="http://schemas.openxmlformats.org/officeDocument/2006/relationships/hyperlink" Target="https://www.producthired.com/job/fundera-product-manager/" TargetMode="External"/><Relationship Id="rId59" Type="http://schemas.openxmlformats.org/officeDocument/2006/relationships/hyperlink" Target="https://producthired.com/job/slack-product-manager-2" TargetMode="External"/><Relationship Id="rId154" Type="http://schemas.openxmlformats.org/officeDocument/2006/relationships/hyperlink" Target="https://jobs.lever.co/scaleapi/ee4e0485-3f97-4211-a579-fad36e3dce9e" TargetMode="External"/><Relationship Id="rId58" Type="http://schemas.openxmlformats.org/officeDocument/2006/relationships/hyperlink" Target="https://producthired.com/job/sap-principal-product-manager" TargetMode="External"/><Relationship Id="rId153" Type="http://schemas.openxmlformats.org/officeDocument/2006/relationships/hyperlink" Target="https://boards.greenhouse.io/samsara/jobs/1478522" TargetMode="External"/><Relationship Id="rId152" Type="http://schemas.openxmlformats.org/officeDocument/2006/relationships/hyperlink" Target="https://boards.greenhouse.io/samsara/jobs/1106398" TargetMode="External"/><Relationship Id="rId151" Type="http://schemas.openxmlformats.org/officeDocument/2006/relationships/hyperlink" Target="https://boards.greenhouse.io/samsara/jobs/1484386" TargetMode="External"/><Relationship Id="rId158" Type="http://schemas.openxmlformats.org/officeDocument/2006/relationships/hyperlink" Target="https://www.producthired.com/job/engagio-product-manager/" TargetMode="External"/><Relationship Id="rId157" Type="http://schemas.openxmlformats.org/officeDocument/2006/relationships/hyperlink" Target="https://www.producthired.com/job/crunchbase-product-manager/" TargetMode="External"/><Relationship Id="rId156" Type="http://schemas.openxmlformats.org/officeDocument/2006/relationships/hyperlink" Target="https://www.23andme.com/en-int/careers/4136927002/" TargetMode="External"/><Relationship Id="rId155" Type="http://schemas.openxmlformats.org/officeDocument/2006/relationships/hyperlink" Target="https://jobs.lever.co/scaleapi/e40f6365-765b-468c-9078-feb88cbd1665" TargetMode="External"/><Relationship Id="rId107" Type="http://schemas.openxmlformats.org/officeDocument/2006/relationships/hyperlink" Target="https://jobs.lever.co/convoy/3ac266d9-4198-47dc-93d6-deed7e3b7a7c" TargetMode="External"/><Relationship Id="rId228" Type="http://schemas.openxmlformats.org/officeDocument/2006/relationships/hyperlink" Target="https://www.indeed.com/cmp/Spirit-Fitness/jobs/Product-Manager-dbd54132acd8575a?sjdu=QwrRXKrqZ3CNX5W-O9jEvTHK_qwVIn-tz6nDN_ABFtv3GOybW6S_Jo2b5jFzTO7jvPnZOeZTctrniB1WhN3yIQ&amp;tk=1cq1i67ak1c1r002&amp;vjs=3" TargetMode="External"/><Relationship Id="rId106" Type="http://schemas.openxmlformats.org/officeDocument/2006/relationships/hyperlink" Target="https://www.commonbond.co/careers/job-listing?gh_jid=1161648&amp;_ga=2.179686180.1664138543.1545595592-34076923.1545429329" TargetMode="External"/><Relationship Id="rId227" Type="http://schemas.openxmlformats.org/officeDocument/2006/relationships/hyperlink" Target="https://www.ziprecruiter.com/c/Arrowroot-Capital/Job/Senior-Product-Manager-Remote/-in-Daly-City,CA?jobid=257c8183-f695771d" TargetMode="External"/><Relationship Id="rId105" Type="http://schemas.openxmlformats.org/officeDocument/2006/relationships/hyperlink" Target="https://jobs.lever.co/carta/52ecc8c6-a36e-4714-a68e-d04cc18db468" TargetMode="External"/><Relationship Id="rId226" Type="http://schemas.openxmlformats.org/officeDocument/2006/relationships/hyperlink" Target="https://www.indeed.com/viewjob?jk=8a54bf8c6062dedf&amp;q=product+manager&amp;l=chicago&amp;tk=1cq1i4g5o1c1r000&amp;from=web&amp;advn=7826741124866407&amp;sjdu=JO7P6TZFhAvlb1Iwq8U87BinYnSrPGXscqRBQx8s7ICZiPlbiG4hevX4sTwnyx56pqfoXKU_Pz4EYeLpYxBuR7PXio_lgtGg-NCgo1GNFDXKEUWVe8iBoPUhkznU99b4s1BKabnULGMf5XSuMY1iJA&amp;acatk=1cq1i4lc7b08h800&amp;pub=4a1b367933fd867b19b072952f68dceb&amp;vjs=3" TargetMode="External"/><Relationship Id="rId104" Type="http://schemas.openxmlformats.org/officeDocument/2006/relationships/hyperlink" Target="https://jobs.lever.co/carta/a40d77ca-2ea5-4137-bbab-41220c294f90" TargetMode="External"/><Relationship Id="rId225" Type="http://schemas.openxmlformats.org/officeDocument/2006/relationships/hyperlink" Target="https://www.remitly.com/us/en/careers/1044524" TargetMode="External"/><Relationship Id="rId109" Type="http://schemas.openxmlformats.org/officeDocument/2006/relationships/hyperlink" Target="https://jobs.lever.co/convoy/046024d8-eef5-4a03-a405-b6221ac83a3b" TargetMode="External"/><Relationship Id="rId108" Type="http://schemas.openxmlformats.org/officeDocument/2006/relationships/hyperlink" Target="https://jobs.lever.co/convoy/41e8611d-ab98-4bba-9383-406cb9091594" TargetMode="External"/><Relationship Id="rId229" Type="http://schemas.openxmlformats.org/officeDocument/2006/relationships/hyperlink" Target="https://www.smartrecruiters.com/Square/743999676232982" TargetMode="External"/><Relationship Id="rId220" Type="http://schemas.openxmlformats.org/officeDocument/2006/relationships/hyperlink" Target="https://morningstar.wd5.myworkdayjobs.com/en-US/Americas/job/Chicago/Product-Manager_REQ-010772-1" TargetMode="External"/><Relationship Id="rId103" Type="http://schemas.openxmlformats.org/officeDocument/2006/relationships/hyperlink" Target="https://jobs.lever.co/carta/708177ff-0825-4811-8082-8ee3e74fb3cc" TargetMode="External"/><Relationship Id="rId224" Type="http://schemas.openxmlformats.org/officeDocument/2006/relationships/hyperlink" Target="https://www.indeed.com/viewjob?jk=ff628472f3303f9c&amp;from=recjobs&amp;vjtk=1cq1i5sv6bqkv800" TargetMode="External"/><Relationship Id="rId102" Type="http://schemas.openxmlformats.org/officeDocument/2006/relationships/hyperlink" Target="https://jobs.lever.co/carta/769b37e8-e33d-492f-a041-ce1609cc0527" TargetMode="External"/><Relationship Id="rId223" Type="http://schemas.openxmlformats.org/officeDocument/2006/relationships/hyperlink" Target="https://careers-quickenloans.icims.com/jobs/36582/product-manager/job?mode=job&amp;iis=Indeed&amp;iisn=Indeed.com&amp;mobile=false&amp;width=1334&amp;height=500&amp;bga=true&amp;needsRedirect=false&amp;jan1offset=-480&amp;jun1offset=-420" TargetMode="External"/><Relationship Id="rId101" Type="http://schemas.openxmlformats.org/officeDocument/2006/relationships/hyperlink" Target="https://jobs.lever.co/carta/204951e0-885a-4ffb-b4c8-fb01955a92b5" TargetMode="External"/><Relationship Id="rId222" Type="http://schemas.openxmlformats.org/officeDocument/2006/relationships/hyperlink" Target="https://sjobs.brassring.com/TGnewUI/Search/home/HomeWithPreLoad?PageType=JobDetails&amp;noback=0&amp;partnerid=15783&amp;siteid=5130&amp;jobid=1477882" TargetMode="External"/><Relationship Id="rId100" Type="http://schemas.openxmlformats.org/officeDocument/2006/relationships/hyperlink" Target="https://axiomsl.workable.com/j/DB51532777" TargetMode="External"/><Relationship Id="rId221" Type="http://schemas.openxmlformats.org/officeDocument/2006/relationships/hyperlink" Target="https://jobs.lever.co/neednova/41e0dee3-95b1-4b53-93cf-54145b39bb94" TargetMode="External"/><Relationship Id="rId217" Type="http://schemas.openxmlformats.org/officeDocument/2006/relationships/hyperlink" Target="https://jobs.gecareers.com/ShowJob/Id/67201/Sr%20Technical%20Product%20Manager" TargetMode="External"/><Relationship Id="rId216" Type="http://schemas.openxmlformats.org/officeDocument/2006/relationships/hyperlink" Target="https://sjobs.brassring.com/TGnewUI/Search/home/HomeWithPreLoad?PageType=JobDetails&amp;partnerid=25385&amp;siteid=5186&amp;AReq=30909BR&amp;codes=SF_Indeed" TargetMode="External"/><Relationship Id="rId215" Type="http://schemas.openxmlformats.org/officeDocument/2006/relationships/hyperlink" Target="https://emerson.taleo.net/careersection/ex/jobdetail.ftl?job=18015087&amp;lang=en&amp;media_id=46787&amp;src=Indeed&amp;src=JB-10086" TargetMode="External"/><Relationship Id="rId214" Type="http://schemas.openxmlformats.org/officeDocument/2006/relationships/hyperlink" Target="https://www.linkedin.com/jobs/view/head-of-product-management%2C-medium-sized-carriers-at-convoy-inc-906650319" TargetMode="External"/><Relationship Id="rId219" Type="http://schemas.openxmlformats.org/officeDocument/2006/relationships/hyperlink" Target="https://angel.co/koder/jobs/440117-blockchain-product-manager" TargetMode="External"/><Relationship Id="rId218" Type="http://schemas.openxmlformats.org/officeDocument/2006/relationships/hyperlink" Target="https://tas-johnsoncontrols.taleo.net/careersection/10000/jobdetail.ftl?job=169337&amp;src=JB-15980" TargetMode="External"/><Relationship Id="rId213" Type="http://schemas.openxmlformats.org/officeDocument/2006/relationships/hyperlink" Target="http://careers.bankofamerica.com/job-detail/18061839/united-states/us/product-manager--data-and-analytics" TargetMode="External"/><Relationship Id="rId212" Type="http://schemas.openxmlformats.org/officeDocument/2006/relationships/hyperlink" Target="https://www.linkedin.com/jobs/view/product-manager-mobile-apps-%28hotwire-san-at-hotwire-927173351/" TargetMode="External"/><Relationship Id="rId211" Type="http://schemas.openxmlformats.org/officeDocument/2006/relationships/hyperlink" Target="https://careers.pinterest.com/careers/details/1385161" TargetMode="External"/><Relationship Id="rId210" Type="http://schemas.openxmlformats.org/officeDocument/2006/relationships/hyperlink" Target="https://careers.pinterest.com/careers/details/1388082" TargetMode="External"/><Relationship Id="rId129" Type="http://schemas.openxmlformats.org/officeDocument/2006/relationships/hyperlink" Target="https://jobs.lever.co/opendoor/9e8053da-ca37-40ac-b922-8836e784fe5a" TargetMode="External"/><Relationship Id="rId128" Type="http://schemas.openxmlformats.org/officeDocument/2006/relationships/hyperlink" Target="https://jobs.lever.co/opendoor/881de5c3-65cf-4ece-8b6d-bfb539d64ebd" TargetMode="External"/><Relationship Id="rId249" Type="http://schemas.openxmlformats.org/officeDocument/2006/relationships/hyperlink" Target="https://www.theladders.com/job/product-manager-messaging-slack-san-francisco-ca_37433379" TargetMode="External"/><Relationship Id="rId127" Type="http://schemas.openxmlformats.org/officeDocument/2006/relationships/hyperlink" Target="https://jobs.lever.co/opendoor/5ea74530-6fa0-4548-9199-2360c591df78" TargetMode="External"/><Relationship Id="rId248" Type="http://schemas.openxmlformats.org/officeDocument/2006/relationships/hyperlink" Target="https://www.coinbase.com/careers/1000026" TargetMode="External"/><Relationship Id="rId126" Type="http://schemas.openxmlformats.org/officeDocument/2006/relationships/hyperlink" Target="https://boards.greenhouse.io/offerup/jobs/1385571" TargetMode="External"/><Relationship Id="rId247" Type="http://schemas.openxmlformats.org/officeDocument/2006/relationships/hyperlink" Target="https://angel.co/angellist/jobs/396844-product-manager-talent" TargetMode="External"/><Relationship Id="rId121" Type="http://schemas.openxmlformats.org/officeDocument/2006/relationships/hyperlink" Target="https://jobs.lever.co/lever/ebb56107-e2e3-4003-9337-1c4e6269553c" TargetMode="External"/><Relationship Id="rId242" Type="http://schemas.openxmlformats.org/officeDocument/2006/relationships/hyperlink" Target="https://jobs.lever.co/skilljar/ee6d4c55-3658-4052-80e7-647845cea3be" TargetMode="External"/><Relationship Id="rId120" Type="http://schemas.openxmlformats.org/officeDocument/2006/relationships/hyperlink" Target="https://jobs.lever.co/lever/b3928f65-92bd-4102-95c4-fdfed43ce757" TargetMode="External"/><Relationship Id="rId241" Type="http://schemas.openxmlformats.org/officeDocument/2006/relationships/hyperlink" Target="https://applecart.recruiterbox.com/jobs/fk01spl/" TargetMode="External"/><Relationship Id="rId240" Type="http://schemas.openxmlformats.org/officeDocument/2006/relationships/hyperlink" Target="https://slack.com/careers/1241189/product-manager-api-identity-and-security" TargetMode="External"/><Relationship Id="rId125" Type="http://schemas.openxmlformats.org/officeDocument/2006/relationships/hyperlink" Target="https://boards.greenhouse.io/narvar/jobs/1449318" TargetMode="External"/><Relationship Id="rId246" Type="http://schemas.openxmlformats.org/officeDocument/2006/relationships/hyperlink" Target="https://www.amazon.jobs/en/jobs/701918/sr-product-manager-private-brands" TargetMode="External"/><Relationship Id="rId124" Type="http://schemas.openxmlformats.org/officeDocument/2006/relationships/hyperlink" Target="https://boards.greenhouse.io/narvar/jobs/1000392" TargetMode="External"/><Relationship Id="rId245" Type="http://schemas.openxmlformats.org/officeDocument/2006/relationships/hyperlink" Target="https://careers.microsoft.com/i/us/en" TargetMode="External"/><Relationship Id="rId123" Type="http://schemas.openxmlformats.org/officeDocument/2006/relationships/hyperlink" Target="https://boards.greenhouse.io/narvar/jobs/1449308" TargetMode="External"/><Relationship Id="rId244" Type="http://schemas.openxmlformats.org/officeDocument/2006/relationships/hyperlink" Target="https://jobs.lever.co/hellosign/32121111-3c5c-4087-86fb-eef00961ab6f" TargetMode="External"/><Relationship Id="rId122" Type="http://schemas.openxmlformats.org/officeDocument/2006/relationships/hyperlink" Target="https://boards.greenhouse.io/narvar/jobs/1449324" TargetMode="External"/><Relationship Id="rId243" Type="http://schemas.openxmlformats.org/officeDocument/2006/relationships/hyperlink" Target="https://jobs.lever.co/vividcortex/f11cff84-ae7a-4941-bcc1-9711739b972b" TargetMode="External"/><Relationship Id="rId95" Type="http://schemas.openxmlformats.org/officeDocument/2006/relationships/hyperlink" Target="http://jobs.jobvite.com/avetta/job/oYwb7fww" TargetMode="External"/><Relationship Id="rId94" Type="http://schemas.openxmlformats.org/officeDocument/2006/relationships/hyperlink" Target="https://www.avalara.com/us/en/about/jobs/job-details.oQkT8fwV-CMvsVfwo.html?referrer=https%3A%2F%2Ft.co%2FaXg5KcseDm&amp;lastReferrer=www.avalara.com&amp;sessionId=1545593671577" TargetMode="External"/><Relationship Id="rId97" Type="http://schemas.openxmlformats.org/officeDocument/2006/relationships/hyperlink" Target="http://jobs.jobvite.com/avetta/job/oakK8fw6" TargetMode="External"/><Relationship Id="rId96" Type="http://schemas.openxmlformats.org/officeDocument/2006/relationships/hyperlink" Target="http://jobs.jobvite.com/avetta/job/onWg8fwr" TargetMode="External"/><Relationship Id="rId99" Type="http://schemas.openxmlformats.org/officeDocument/2006/relationships/hyperlink" Target="https://avinetworks.com/careers/?p=job%2FoAnB8fwq" TargetMode="External"/><Relationship Id="rId98" Type="http://schemas.openxmlformats.org/officeDocument/2006/relationships/hyperlink" Target="http://jobs.jobvite.com/avetta/job/o5kK8fw1" TargetMode="External"/><Relationship Id="rId91" Type="http://schemas.openxmlformats.org/officeDocument/2006/relationships/hyperlink" Target="https://asana.com/jobs/apply/1346957/product-manager-core-experience" TargetMode="External"/><Relationship Id="rId90" Type="http://schemas.openxmlformats.org/officeDocument/2006/relationships/hyperlink" Target="https://asana.com/jobs/apply/716907/product-manager" TargetMode="External"/><Relationship Id="rId93" Type="http://schemas.openxmlformats.org/officeDocument/2006/relationships/hyperlink" Target="https://www.avalara.com/us/en/about/jobs/job-details.oQkT8fwV.html?referrer=https%3A%2F%2Ft.co%2FaXg5KcseDm&amp;lastReferrer=www.avalara.com&amp;sessionId=1545593671577" TargetMode="External"/><Relationship Id="rId92" Type="http://schemas.openxmlformats.org/officeDocument/2006/relationships/hyperlink" Target="https://www.avalara.com/us/en/about/jobs/job-details.ojCx8fwk.html?referrer=https%3A%2F%2Ft.co%2FaXg5KcseDm&amp;lastReferrer=www.avalara.com&amp;sessionId=1545593671577" TargetMode="External"/><Relationship Id="rId118" Type="http://schemas.openxmlformats.org/officeDocument/2006/relationships/hyperlink" Target="https://www.illumio.com/career-openings?gh_jid=4095715002" TargetMode="External"/><Relationship Id="rId239" Type="http://schemas.openxmlformats.org/officeDocument/2006/relationships/hyperlink" Target="https://recruiting.adp.com/srccar/public/RTI.home?c=1208301&amp;d=External&amp;r=5000392831806" TargetMode="External"/><Relationship Id="rId117" Type="http://schemas.openxmlformats.org/officeDocument/2006/relationships/hyperlink" Target="https://hire.withgoogle.com/public/jobs/healthiqcom/view/P_AAAAAAEAAKPG7YFW5n8Y1z" TargetMode="External"/><Relationship Id="rId238" Type="http://schemas.openxmlformats.org/officeDocument/2006/relationships/hyperlink" Target="https://formation.ai/careers/product-manager/" TargetMode="External"/><Relationship Id="rId116" Type="http://schemas.openxmlformats.org/officeDocument/2006/relationships/hyperlink" Target="https://www.flywire.com/career-details/?gh_jid=1257234" TargetMode="External"/><Relationship Id="rId237" Type="http://schemas.openxmlformats.org/officeDocument/2006/relationships/hyperlink" Target="https://jobs.ebayinc.com/job/san-jose/product-manager/403/9006805" TargetMode="External"/><Relationship Id="rId115" Type="http://schemas.openxmlformats.org/officeDocument/2006/relationships/hyperlink" Target="https://boards.greenhouse.io/farmersbusinessnetwork/jobs/408951" TargetMode="External"/><Relationship Id="rId236" Type="http://schemas.openxmlformats.org/officeDocument/2006/relationships/hyperlink" Target="https://uncubed.com/jobs/circleci/job/89869-senior-product-manager" TargetMode="External"/><Relationship Id="rId119" Type="http://schemas.openxmlformats.org/officeDocument/2006/relationships/hyperlink" Target="https://boards.greenhouse.io/justworks/jobs/1395687" TargetMode="External"/><Relationship Id="rId110" Type="http://schemas.openxmlformats.org/officeDocument/2006/relationships/hyperlink" Target="https://jobs.lever.co/convoy/c8809d7e-016f-47ae-859c-b4c608ad6055" TargetMode="External"/><Relationship Id="rId231" Type="http://schemas.openxmlformats.org/officeDocument/2006/relationships/hyperlink" Target="https://www.smartrecruiters.com/Square/743999676655788" TargetMode="External"/><Relationship Id="rId230" Type="http://schemas.openxmlformats.org/officeDocument/2006/relationships/hyperlink" Target="https://www.schwabjobs.com/ShowJob/Id/1797968/Associate,%20Product%20Manager" TargetMode="External"/><Relationship Id="rId114" Type="http://schemas.openxmlformats.org/officeDocument/2006/relationships/hyperlink" Target="https://www.earnin.com/jobs?gh_jid=745668" TargetMode="External"/><Relationship Id="rId235" Type="http://schemas.openxmlformats.org/officeDocument/2006/relationships/hyperlink" Target="https://boards.greenhouse.io/boxinc/jobs/1233618" TargetMode="External"/><Relationship Id="rId113" Type="http://schemas.openxmlformats.org/officeDocument/2006/relationships/hyperlink" Target="https://jobs.lever.co/demisto/d5823a27-f143-413a-8c13-92c7140ff0ca" TargetMode="External"/><Relationship Id="rId234" Type="http://schemas.openxmlformats.org/officeDocument/2006/relationships/hyperlink" Target="https://www.ziprecruiter.com/c/VMware/Job/Senior-Technical-Product-Manager-NSX-(Remote)/-in-Palo-Alto,CA?ojob=03b9e3d45f28845d871cee1e4787f1d6" TargetMode="External"/><Relationship Id="rId112" Type="http://schemas.openxmlformats.org/officeDocument/2006/relationships/hyperlink" Target="https://hire.withgoogle.com/public/jobs/cumulusnetworkscom/view/P_AAAAAAEAAEvAJGBJDnOlXj" TargetMode="External"/><Relationship Id="rId233" Type="http://schemas.openxmlformats.org/officeDocument/2006/relationships/hyperlink" Target="https://recruiting.ultipro.com/ROP1001ROPER/JobBoard/21c753f8-41e9-4b7c-8ad6-f7f862d495b7/OpportunityDetail?opportunityId=59bc309e-8846-4b8f-aba4-40e1295998d3" TargetMode="External"/><Relationship Id="rId111" Type="http://schemas.openxmlformats.org/officeDocument/2006/relationships/hyperlink" Target="https://jobs.lever.co/convoy/f91f5f48-07fd-4f93-af66-c39c534a7f78" TargetMode="External"/><Relationship Id="rId232" Type="http://schemas.openxmlformats.org/officeDocument/2006/relationships/hyperlink" Target="https://www.smartrecruiters.com/Square/743999677571237" TargetMode="External"/><Relationship Id="rId206" Type="http://schemas.openxmlformats.org/officeDocument/2006/relationships/hyperlink" Target="https://www.shopify.com/careers/product-manager-payments-financial-solutions-eb415c" TargetMode="External"/><Relationship Id="rId205" Type="http://schemas.openxmlformats.org/officeDocument/2006/relationships/hyperlink" Target="https://boards.greenhouse.io/qualtrics/jobs/8684" TargetMode="External"/><Relationship Id="rId204" Type="http://schemas.openxmlformats.org/officeDocument/2006/relationships/hyperlink" Target="https://www.producthired.com/job/netapp-product-manager/" TargetMode="External"/><Relationship Id="rId203" Type="http://schemas.openxmlformats.org/officeDocument/2006/relationships/hyperlink" Target="https://www.producthired.com/job/cognizant-product-manager/" TargetMode="External"/><Relationship Id="rId209" Type="http://schemas.openxmlformats.org/officeDocument/2006/relationships/hyperlink" Target="https://www.elastic.co/about/careers/product/jobs/1283261" TargetMode="External"/><Relationship Id="rId208" Type="http://schemas.openxmlformats.org/officeDocument/2006/relationships/hyperlink" Target="https://www.producthired.com/job/wikimedia-product-manager/" TargetMode="External"/><Relationship Id="rId207" Type="http://schemas.openxmlformats.org/officeDocument/2006/relationships/hyperlink" Target="https://www.producthired.com/job/thomsonreuters-product-manager/" TargetMode="External"/><Relationship Id="rId202" Type="http://schemas.openxmlformats.org/officeDocument/2006/relationships/hyperlink" Target="https://www.producthired.com/job/chive-media-group-project-manager/" TargetMode="External"/><Relationship Id="rId201" Type="http://schemas.openxmlformats.org/officeDocument/2006/relationships/hyperlink" Target="https://www.producthired.com/job/airbnb-product-manager/" TargetMode="External"/><Relationship Id="rId200" Type="http://schemas.openxmlformats.org/officeDocument/2006/relationships/hyperlink" Target="https://www.producthired.com/job/paypal-senior-product-manag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12.0"/>
  </cols>
  <sheetData>
    <row r="1">
      <c r="A1" s="1" t="s">
        <v>0</v>
      </c>
      <c r="C1" s="2" t="s">
        <v>1</v>
      </c>
      <c r="E1" s="3"/>
      <c r="F1" s="3"/>
      <c r="G1" s="3"/>
      <c r="H1" s="3"/>
      <c r="I1" s="3"/>
      <c r="J1" s="3"/>
    </row>
    <row r="2">
      <c r="A2" s="4" t="s">
        <v>2</v>
      </c>
      <c r="I2" s="5"/>
      <c r="J2" s="5"/>
    </row>
    <row r="3">
      <c r="A3" s="6" t="s">
        <v>3</v>
      </c>
    </row>
    <row r="4">
      <c r="A4" s="7" t="s">
        <v>4</v>
      </c>
    </row>
    <row r="6" ht="72.0" customHeight="1">
      <c r="A6" s="8" t="str">
        <f>HYPERLINK("https://www.lewis-lin.com/","Created by Lewis C. Lin")</f>
        <v>Created by Lewis C. Lin</v>
      </c>
      <c r="C6" t="str">
        <f>image("https://static1.squarespace.com/static/52e2b6d3e4b06446e8bf13ed/t/5ad53306f950b7baba1a8cba/1523921688519/lewis-lin-headshot.jpg")</f>
        <v>#REF!</v>
      </c>
    </row>
    <row r="8">
      <c r="A8" s="9" t="s">
        <v>5</v>
      </c>
    </row>
    <row r="9">
      <c r="A9" s="10" t="str">
        <f>HYPERLINK("https://www.lewis-lin.com/blog/2018/9/8/top-10-resources-for-product-manager-interview-preparation","Top 10 Resources for Product Manager Interview Preparation")</f>
        <v>Top 10 Resources for Product Manager Interview Preparation</v>
      </c>
    </row>
  </sheetData>
  <mergeCells count="8">
    <mergeCell ref="A1:B1"/>
    <mergeCell ref="C1:D1"/>
    <mergeCell ref="A2:H2"/>
    <mergeCell ref="A3:J3"/>
    <mergeCell ref="A4:J4"/>
    <mergeCell ref="A6:B6"/>
    <mergeCell ref="A8:D8"/>
    <mergeCell ref="A9:D9"/>
  </mergeCells>
  <hyperlinks>
    <hyperlink r:id="rId1" ref="C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27.63"/>
    <col customWidth="1" min="3" max="3" width="20.13"/>
    <col customWidth="1" min="4" max="4" width="86.5"/>
  </cols>
  <sheetData>
    <row r="1">
      <c r="A1" s="11" t="s">
        <v>6</v>
      </c>
      <c r="B1" s="12" t="s">
        <v>7</v>
      </c>
      <c r="C1" s="12" t="s">
        <v>8</v>
      </c>
      <c r="D1" s="13" t="s">
        <v>9</v>
      </c>
      <c r="E1" s="13" t="s">
        <v>10</v>
      </c>
      <c r="F1" s="14" t="s">
        <v>11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6" t="s">
        <v>12</v>
      </c>
      <c r="B2" s="16" t="s">
        <v>13</v>
      </c>
      <c r="C2" s="16" t="s">
        <v>14</v>
      </c>
      <c r="D2" s="17" t="s">
        <v>15</v>
      </c>
      <c r="E2" s="18">
        <v>43494.0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>
      <c r="A3" s="20" t="s">
        <v>16</v>
      </c>
      <c r="B3" s="20" t="s">
        <v>17</v>
      </c>
      <c r="C3" s="20" t="s">
        <v>18</v>
      </c>
      <c r="D3" s="21" t="s">
        <v>19</v>
      </c>
      <c r="E3" s="22">
        <v>43488.0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>
      <c r="A4" s="16" t="s">
        <v>20</v>
      </c>
      <c r="B4" s="16" t="s">
        <v>21</v>
      </c>
      <c r="C4" s="16" t="s">
        <v>22</v>
      </c>
      <c r="D4" s="17" t="s">
        <v>23</v>
      </c>
      <c r="E4" s="24">
        <v>43402.0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20" t="s">
        <v>24</v>
      </c>
      <c r="B5" s="20" t="s">
        <v>25</v>
      </c>
      <c r="C5" s="20" t="s">
        <v>26</v>
      </c>
      <c r="D5" s="21" t="s">
        <v>27</v>
      </c>
      <c r="E5" s="25">
        <v>43402.0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>
      <c r="A6" s="16" t="s">
        <v>28</v>
      </c>
      <c r="B6" s="16" t="s">
        <v>29</v>
      </c>
      <c r="C6" s="16" t="s">
        <v>30</v>
      </c>
      <c r="D6" s="26" t="str">
        <f>HYPERLINK("https://www.glassdoor.com/job-listing/product-strategist-mba-intern-adobe-JV_IC1150505_KO0,29_KE30,35.htm?jl=2981275191&amp;utm_campaign=google_jobs_apply&amp;utm_source=google_jobs_apply&amp;utm_medium=organic","Apply")</f>
        <v>Apply</v>
      </c>
      <c r="E6" s="24">
        <v>43389.0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20" t="s">
        <v>31</v>
      </c>
      <c r="B7" s="27" t="s">
        <v>32</v>
      </c>
      <c r="C7" s="20" t="s">
        <v>30</v>
      </c>
      <c r="D7" s="21" t="s">
        <v>33</v>
      </c>
      <c r="E7" s="25">
        <v>43389.0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>
      <c r="A8" s="16" t="s">
        <v>34</v>
      </c>
      <c r="B8" s="16" t="s">
        <v>35</v>
      </c>
      <c r="C8" s="16" t="s">
        <v>36</v>
      </c>
      <c r="D8" s="28" t="s">
        <v>37</v>
      </c>
      <c r="E8" s="24">
        <v>43382.0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20" t="s">
        <v>38</v>
      </c>
      <c r="B9" s="20" t="s">
        <v>13</v>
      </c>
      <c r="C9" s="20" t="s">
        <v>26</v>
      </c>
      <c r="D9" s="21" t="s">
        <v>39</v>
      </c>
      <c r="E9" s="25">
        <v>43357.0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>
      <c r="A10" s="16" t="s">
        <v>40</v>
      </c>
      <c r="B10" s="16" t="s">
        <v>21</v>
      </c>
      <c r="C10" s="16" t="s">
        <v>26</v>
      </c>
      <c r="E10" s="24">
        <v>43357.0</v>
      </c>
      <c r="F10" s="29" t="s">
        <v>41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20" t="s">
        <v>42</v>
      </c>
      <c r="B11" s="20" t="s">
        <v>43</v>
      </c>
      <c r="C11" s="20" t="s">
        <v>44</v>
      </c>
      <c r="D11" s="21" t="s">
        <v>45</v>
      </c>
      <c r="E11" s="25">
        <v>43357.0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>
      <c r="A12" s="16" t="s">
        <v>46</v>
      </c>
      <c r="B12" s="16" t="s">
        <v>13</v>
      </c>
      <c r="C12" s="16" t="s">
        <v>26</v>
      </c>
      <c r="D12" s="17" t="s">
        <v>47</v>
      </c>
      <c r="E12" s="24">
        <v>43357.0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20" t="s">
        <v>48</v>
      </c>
      <c r="B13" s="20" t="s">
        <v>13</v>
      </c>
      <c r="C13" s="20" t="s">
        <v>49</v>
      </c>
      <c r="D13" s="21" t="s">
        <v>50</v>
      </c>
      <c r="E13" s="25">
        <v>43357.0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>
      <c r="A14" s="16" t="s">
        <v>51</v>
      </c>
      <c r="B14" s="16" t="s">
        <v>21</v>
      </c>
      <c r="C14" s="16" t="s">
        <v>52</v>
      </c>
      <c r="D14" s="17" t="s">
        <v>53</v>
      </c>
      <c r="E14" s="24">
        <v>43357.0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20" t="s">
        <v>16</v>
      </c>
      <c r="B15" s="20" t="s">
        <v>17</v>
      </c>
      <c r="C15" s="20" t="s">
        <v>18</v>
      </c>
      <c r="D15" s="21" t="s">
        <v>54</v>
      </c>
      <c r="E15" s="25">
        <v>43357.0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>
      <c r="A16" s="16" t="s">
        <v>55</v>
      </c>
      <c r="B16" s="16" t="s">
        <v>13</v>
      </c>
      <c r="C16" s="16" t="s">
        <v>26</v>
      </c>
      <c r="D16" s="17" t="s">
        <v>56</v>
      </c>
      <c r="E16" s="24">
        <v>43357.0</v>
      </c>
      <c r="F16" s="29" t="s">
        <v>41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30"/>
      <c r="B17" s="30"/>
      <c r="C17" s="30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>
      <c r="A18" s="31"/>
      <c r="B18" s="31"/>
      <c r="C18" s="3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30"/>
      <c r="B19" s="30"/>
      <c r="C19" s="30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>
      <c r="A20" s="31"/>
      <c r="B20" s="31"/>
      <c r="C20" s="3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30"/>
      <c r="B21" s="30"/>
      <c r="C21" s="30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>
      <c r="A22" s="31"/>
      <c r="B22" s="31"/>
      <c r="C22" s="3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30"/>
      <c r="B23" s="30"/>
      <c r="C23" s="30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r="24">
      <c r="A24" s="31"/>
      <c r="B24" s="31"/>
      <c r="C24" s="3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>
      <c r="A25" s="30"/>
      <c r="B25" s="30"/>
      <c r="C25" s="30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r="26">
      <c r="A26" s="31"/>
      <c r="B26" s="31"/>
      <c r="C26" s="3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30"/>
      <c r="B27" s="30"/>
      <c r="C27" s="30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r="28">
      <c r="A28" s="31"/>
      <c r="B28" s="31"/>
      <c r="C28" s="3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30"/>
      <c r="B29" s="30"/>
      <c r="C29" s="30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>
      <c r="A30" s="31"/>
      <c r="B30" s="31"/>
      <c r="C30" s="3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>
      <c r="A31" s="30"/>
      <c r="B31" s="30"/>
      <c r="C31" s="30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>
      <c r="A32" s="31"/>
      <c r="B32" s="31"/>
      <c r="C32" s="3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>
      <c r="A33" s="30"/>
      <c r="B33" s="30"/>
      <c r="C33" s="30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r="34">
      <c r="A34" s="31"/>
      <c r="B34" s="31"/>
      <c r="C34" s="31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>
      <c r="A35" s="30"/>
      <c r="B35" s="30"/>
      <c r="C35" s="30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>
      <c r="A36" s="31"/>
      <c r="B36" s="31"/>
      <c r="C36" s="31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>
      <c r="A37" s="30"/>
      <c r="B37" s="30"/>
      <c r="C37" s="30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31"/>
      <c r="B38" s="31"/>
      <c r="C38" s="31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>
      <c r="A39" s="30"/>
      <c r="B39" s="30"/>
      <c r="C39" s="30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>
      <c r="A40" s="31"/>
      <c r="B40" s="31"/>
      <c r="C40" s="31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>
      <c r="A41" s="30"/>
      <c r="B41" s="30"/>
      <c r="C41" s="30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31"/>
      <c r="B42" s="31"/>
      <c r="C42" s="31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>
      <c r="A43" s="30"/>
      <c r="B43" s="30"/>
      <c r="C43" s="30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31"/>
      <c r="B44" s="31"/>
      <c r="C44" s="31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>
      <c r="A45" s="30"/>
      <c r="B45" s="30"/>
      <c r="C45" s="30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31"/>
      <c r="B46" s="31"/>
      <c r="C46" s="31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>
      <c r="A47" s="30"/>
      <c r="B47" s="30"/>
      <c r="C47" s="30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31"/>
      <c r="B48" s="31"/>
      <c r="C48" s="31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>
      <c r="A49" s="30"/>
      <c r="B49" s="30"/>
      <c r="C49" s="30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31"/>
      <c r="B50" s="31"/>
      <c r="C50" s="31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>
      <c r="A51" s="30"/>
      <c r="B51" s="30"/>
      <c r="C51" s="30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>
      <c r="A52" s="31"/>
      <c r="B52" s="31"/>
      <c r="C52" s="31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>
      <c r="A53" s="30"/>
      <c r="B53" s="30"/>
      <c r="C53" s="30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31"/>
      <c r="B54" s="31"/>
      <c r="C54" s="31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>
      <c r="A55" s="30"/>
      <c r="B55" s="30"/>
      <c r="C55" s="30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>
      <c r="A56" s="31"/>
      <c r="B56" s="31"/>
      <c r="C56" s="31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>
      <c r="A57" s="30"/>
      <c r="B57" s="30"/>
      <c r="C57" s="30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>
      <c r="A58" s="31"/>
      <c r="B58" s="31"/>
      <c r="C58" s="31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>
      <c r="A59" s="30"/>
      <c r="B59" s="30"/>
      <c r="C59" s="30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>
      <c r="A60" s="31"/>
      <c r="B60" s="31"/>
      <c r="C60" s="31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>
      <c r="A61" s="30"/>
      <c r="B61" s="30"/>
      <c r="C61" s="30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>
      <c r="A62" s="31"/>
      <c r="B62" s="31"/>
      <c r="C62" s="31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>
      <c r="A63" s="30"/>
      <c r="B63" s="30"/>
      <c r="C63" s="30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>
      <c r="A64" s="31"/>
      <c r="B64" s="31"/>
      <c r="C64" s="31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>
      <c r="A65" s="30"/>
      <c r="B65" s="30"/>
      <c r="C65" s="30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>
      <c r="A66" s="31"/>
      <c r="B66" s="31"/>
      <c r="C66" s="31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>
      <c r="A67" s="30"/>
      <c r="B67" s="30"/>
      <c r="C67" s="30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>
      <c r="A68" s="31"/>
      <c r="B68" s="31"/>
      <c r="C68" s="3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>
      <c r="A69" s="30"/>
      <c r="B69" s="30"/>
      <c r="C69" s="30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>
      <c r="A70" s="31"/>
      <c r="B70" s="31"/>
      <c r="C70" s="3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>
      <c r="A71" s="30"/>
      <c r="B71" s="30"/>
      <c r="C71" s="30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>
      <c r="A72" s="31"/>
      <c r="B72" s="31"/>
      <c r="C72" s="3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>
      <c r="A73" s="30"/>
      <c r="B73" s="30"/>
      <c r="C73" s="30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>
      <c r="A74" s="31"/>
      <c r="B74" s="31"/>
      <c r="C74" s="31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>
      <c r="A75" s="30"/>
      <c r="B75" s="30"/>
      <c r="C75" s="30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>
      <c r="A76" s="31"/>
      <c r="B76" s="31"/>
      <c r="C76" s="31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>
      <c r="A77" s="30"/>
      <c r="B77" s="30"/>
      <c r="C77" s="30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>
      <c r="A78" s="31"/>
      <c r="B78" s="31"/>
      <c r="C78" s="31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>
      <c r="A79" s="30"/>
      <c r="B79" s="30"/>
      <c r="C79" s="30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>
      <c r="A80" s="31"/>
      <c r="B80" s="31"/>
      <c r="C80" s="31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>
      <c r="A81" s="30"/>
      <c r="B81" s="30"/>
      <c r="C81" s="30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>
      <c r="A82" s="31"/>
      <c r="B82" s="31"/>
      <c r="C82" s="31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>
      <c r="A83" s="30"/>
      <c r="B83" s="30"/>
      <c r="C83" s="30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>
      <c r="A84" s="31"/>
      <c r="B84" s="31"/>
      <c r="C84" s="31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>
      <c r="A85" s="30"/>
      <c r="B85" s="30"/>
      <c r="C85" s="30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>
      <c r="A86" s="31"/>
      <c r="B86" s="31"/>
      <c r="C86" s="31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>
      <c r="A87" s="30"/>
      <c r="B87" s="30"/>
      <c r="C87" s="30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>
      <c r="A88" s="31"/>
      <c r="B88" s="31"/>
      <c r="C88" s="31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>
      <c r="A89" s="30"/>
      <c r="B89" s="30"/>
      <c r="C89" s="30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>
      <c r="A90" s="31"/>
      <c r="B90" s="31"/>
      <c r="C90" s="31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>
      <c r="A91" s="30"/>
      <c r="B91" s="30"/>
      <c r="C91" s="30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>
      <c r="A92" s="31"/>
      <c r="B92" s="31"/>
      <c r="C92" s="31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>
      <c r="A93" s="30"/>
      <c r="B93" s="30"/>
      <c r="C93" s="30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>
      <c r="A94" s="31"/>
      <c r="B94" s="31"/>
      <c r="C94" s="31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>
      <c r="A95" s="30"/>
      <c r="B95" s="30"/>
      <c r="C95" s="30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>
      <c r="A96" s="31"/>
      <c r="B96" s="31"/>
      <c r="C96" s="31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>
      <c r="A97" s="30"/>
      <c r="B97" s="30"/>
      <c r="C97" s="30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>
      <c r="A98" s="31"/>
      <c r="B98" s="31"/>
      <c r="C98" s="31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>
      <c r="A99" s="30"/>
      <c r="B99" s="30"/>
      <c r="C99" s="30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>
      <c r="A100" s="31"/>
      <c r="B100" s="31"/>
      <c r="C100" s="31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>
      <c r="A101" s="30"/>
      <c r="B101" s="30"/>
      <c r="C101" s="30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>
      <c r="A102" s="31"/>
      <c r="B102" s="31"/>
      <c r="C102" s="31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>
      <c r="A103" s="30"/>
      <c r="B103" s="30"/>
      <c r="C103" s="30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>
      <c r="A104" s="31"/>
      <c r="B104" s="31"/>
      <c r="C104" s="31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>
      <c r="A105" s="30"/>
      <c r="B105" s="30"/>
      <c r="C105" s="30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>
      <c r="A106" s="31"/>
      <c r="B106" s="31"/>
      <c r="C106" s="31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>
      <c r="A107" s="30"/>
      <c r="B107" s="30"/>
      <c r="C107" s="30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>
      <c r="A108" s="31"/>
      <c r="B108" s="31"/>
      <c r="C108" s="31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>
      <c r="A109" s="30"/>
      <c r="B109" s="30"/>
      <c r="C109" s="30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>
      <c r="A110" s="31"/>
      <c r="B110" s="31"/>
      <c r="C110" s="31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30"/>
      <c r="B111" s="30"/>
      <c r="C111" s="30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>
      <c r="A112" s="31"/>
      <c r="B112" s="31"/>
      <c r="C112" s="31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>
      <c r="A113" s="30"/>
      <c r="B113" s="30"/>
      <c r="C113" s="30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>
      <c r="A114" s="31"/>
      <c r="B114" s="31"/>
      <c r="C114" s="31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>
      <c r="A115" s="30"/>
      <c r="B115" s="30"/>
      <c r="C115" s="30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>
      <c r="A116" s="31"/>
      <c r="B116" s="31"/>
      <c r="C116" s="31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>
      <c r="A117" s="30"/>
      <c r="B117" s="30"/>
      <c r="C117" s="30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>
      <c r="A118" s="31"/>
      <c r="B118" s="31"/>
      <c r="C118" s="31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>
      <c r="A119" s="30"/>
      <c r="B119" s="30"/>
      <c r="C119" s="30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>
      <c r="A120" s="31"/>
      <c r="B120" s="31"/>
      <c r="C120" s="31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>
      <c r="A121" s="30"/>
      <c r="B121" s="30"/>
      <c r="C121" s="30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>
      <c r="A122" s="31"/>
      <c r="B122" s="31"/>
      <c r="C122" s="31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>
      <c r="A123" s="30"/>
      <c r="B123" s="30"/>
      <c r="C123" s="30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>
      <c r="A124" s="31"/>
      <c r="B124" s="31"/>
      <c r="C124" s="31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>
      <c r="A125" s="30"/>
      <c r="B125" s="30"/>
      <c r="C125" s="30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>
      <c r="A126" s="31"/>
      <c r="B126" s="31"/>
      <c r="C126" s="31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>
      <c r="A127" s="30"/>
      <c r="B127" s="30"/>
      <c r="C127" s="30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>
      <c r="A128" s="31"/>
      <c r="B128" s="31"/>
      <c r="C128" s="31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>
      <c r="A129" s="30"/>
      <c r="B129" s="30"/>
      <c r="C129" s="30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>
      <c r="A130" s="31"/>
      <c r="B130" s="31"/>
      <c r="C130" s="31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>
      <c r="A131" s="30"/>
      <c r="B131" s="30"/>
      <c r="C131" s="30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>
      <c r="A132" s="31"/>
      <c r="B132" s="31"/>
      <c r="C132" s="31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>
      <c r="A133" s="30"/>
      <c r="B133" s="30"/>
      <c r="C133" s="30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>
      <c r="A134" s="31"/>
      <c r="B134" s="31"/>
      <c r="C134" s="31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>
      <c r="A135" s="30"/>
      <c r="B135" s="30"/>
      <c r="C135" s="30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>
      <c r="A136" s="31"/>
      <c r="B136" s="31"/>
      <c r="C136" s="31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>
      <c r="A137" s="30"/>
      <c r="B137" s="30"/>
      <c r="C137" s="30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>
      <c r="A138" s="31"/>
      <c r="B138" s="31"/>
      <c r="C138" s="31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>
      <c r="A139" s="30"/>
      <c r="B139" s="30"/>
      <c r="C139" s="30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>
      <c r="A140" s="31"/>
      <c r="B140" s="31"/>
      <c r="C140" s="31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>
      <c r="A141" s="30"/>
      <c r="B141" s="30"/>
      <c r="C141" s="30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>
      <c r="A142" s="31"/>
      <c r="B142" s="31"/>
      <c r="C142" s="31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>
      <c r="A143" s="30"/>
      <c r="B143" s="30"/>
      <c r="C143" s="30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>
      <c r="A144" s="31"/>
      <c r="B144" s="31"/>
      <c r="C144" s="31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>
      <c r="A145" s="30"/>
      <c r="B145" s="30"/>
      <c r="C145" s="30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>
      <c r="A146" s="31"/>
      <c r="B146" s="31"/>
      <c r="C146" s="31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>
      <c r="A147" s="30"/>
      <c r="B147" s="30"/>
      <c r="C147" s="30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>
      <c r="A148" s="31"/>
      <c r="B148" s="31"/>
      <c r="C148" s="31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30"/>
      <c r="B149" s="30"/>
      <c r="C149" s="30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>
      <c r="A150" s="31"/>
      <c r="B150" s="31"/>
      <c r="C150" s="31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30"/>
      <c r="B151" s="30"/>
      <c r="C151" s="30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>
      <c r="A152" s="31"/>
      <c r="B152" s="31"/>
      <c r="C152" s="31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30"/>
      <c r="B153" s="30"/>
      <c r="C153" s="30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>
      <c r="A154" s="31"/>
      <c r="B154" s="31"/>
      <c r="C154" s="31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30"/>
      <c r="B155" s="30"/>
      <c r="C155" s="30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>
      <c r="A156" s="31"/>
      <c r="B156" s="31"/>
      <c r="C156" s="31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30"/>
      <c r="B157" s="30"/>
      <c r="C157" s="30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>
      <c r="A158" s="31"/>
      <c r="B158" s="31"/>
      <c r="C158" s="31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30"/>
      <c r="B159" s="30"/>
      <c r="C159" s="30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>
      <c r="A160" s="31"/>
      <c r="B160" s="31"/>
      <c r="C160" s="31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>
      <c r="A161" s="30"/>
      <c r="B161" s="30"/>
      <c r="C161" s="30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>
      <c r="A162" s="31"/>
      <c r="B162" s="31"/>
      <c r="C162" s="31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>
      <c r="A163" s="30"/>
      <c r="B163" s="30"/>
      <c r="C163" s="30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>
      <c r="A164" s="31"/>
      <c r="B164" s="31"/>
      <c r="C164" s="31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30"/>
      <c r="B165" s="30"/>
      <c r="C165" s="30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>
      <c r="A166" s="31"/>
      <c r="B166" s="31"/>
      <c r="C166" s="31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>
      <c r="A167" s="30"/>
      <c r="B167" s="30"/>
      <c r="C167" s="30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>
      <c r="A168" s="31"/>
      <c r="B168" s="31"/>
      <c r="C168" s="31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>
      <c r="A169" s="30"/>
      <c r="B169" s="30"/>
      <c r="C169" s="30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>
      <c r="A170" s="31"/>
      <c r="B170" s="31"/>
      <c r="C170" s="31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30"/>
      <c r="B171" s="30"/>
      <c r="C171" s="30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>
      <c r="A172" s="31"/>
      <c r="B172" s="31"/>
      <c r="C172" s="31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>
      <c r="A173" s="30"/>
      <c r="B173" s="30"/>
      <c r="C173" s="30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>
      <c r="A174" s="31"/>
      <c r="B174" s="31"/>
      <c r="C174" s="31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>
      <c r="A175" s="30"/>
      <c r="B175" s="30"/>
      <c r="C175" s="30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>
      <c r="A176" s="31"/>
      <c r="B176" s="31"/>
      <c r="C176" s="31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>
      <c r="A177" s="30"/>
      <c r="B177" s="30"/>
      <c r="C177" s="30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>
      <c r="A178" s="31"/>
      <c r="B178" s="31"/>
      <c r="C178" s="31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>
      <c r="A179" s="30"/>
      <c r="B179" s="30"/>
      <c r="C179" s="30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>
      <c r="A180" s="31"/>
      <c r="B180" s="31"/>
      <c r="C180" s="31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>
      <c r="A181" s="30"/>
      <c r="B181" s="30"/>
      <c r="C181" s="30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31"/>
      <c r="B182" s="31"/>
      <c r="C182" s="31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>
      <c r="A183" s="30"/>
      <c r="B183" s="30"/>
      <c r="C183" s="30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>
      <c r="A184" s="31"/>
      <c r="B184" s="31"/>
      <c r="C184" s="31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>
      <c r="A185" s="30"/>
      <c r="B185" s="30"/>
      <c r="C185" s="30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>
      <c r="A186" s="31"/>
      <c r="B186" s="31"/>
      <c r="C186" s="31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>
      <c r="A187" s="30"/>
      <c r="B187" s="30"/>
      <c r="C187" s="30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>
      <c r="A188" s="31"/>
      <c r="B188" s="31"/>
      <c r="C188" s="31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>
      <c r="A189" s="30"/>
      <c r="B189" s="30"/>
      <c r="C189" s="30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>
      <c r="A190" s="31"/>
      <c r="B190" s="31"/>
      <c r="C190" s="31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>
      <c r="A191" s="30"/>
      <c r="B191" s="30"/>
      <c r="C191" s="30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31"/>
      <c r="B192" s="31"/>
      <c r="C192" s="31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>
      <c r="A193" s="30"/>
      <c r="B193" s="30"/>
      <c r="C193" s="30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31"/>
      <c r="B194" s="31"/>
      <c r="C194" s="31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>
      <c r="A195" s="30"/>
      <c r="B195" s="30"/>
      <c r="C195" s="30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>
      <c r="A196" s="31"/>
      <c r="B196" s="31"/>
      <c r="C196" s="31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>
      <c r="A197" s="30"/>
      <c r="B197" s="30"/>
      <c r="C197" s="30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>
      <c r="A198" s="31"/>
      <c r="B198" s="31"/>
      <c r="C198" s="31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>
      <c r="A199" s="30"/>
      <c r="B199" s="30"/>
      <c r="C199" s="30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>
      <c r="A200" s="31"/>
      <c r="B200" s="31"/>
      <c r="C200" s="31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>
      <c r="A201" s="30"/>
      <c r="B201" s="30"/>
      <c r="C201" s="30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>
      <c r="A202" s="31"/>
      <c r="B202" s="31"/>
      <c r="C202" s="31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>
      <c r="A203" s="30"/>
      <c r="B203" s="30"/>
      <c r="C203" s="30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>
      <c r="A204" s="31"/>
      <c r="B204" s="31"/>
      <c r="C204" s="31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>
      <c r="A205" s="30"/>
      <c r="B205" s="30"/>
      <c r="C205" s="30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>
      <c r="A206" s="31"/>
      <c r="B206" s="31"/>
      <c r="C206" s="31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>
      <c r="A207" s="30"/>
      <c r="B207" s="30"/>
      <c r="C207" s="30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>
      <c r="A208" s="31"/>
      <c r="B208" s="31"/>
      <c r="C208" s="31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>
      <c r="A209" s="30"/>
      <c r="B209" s="30"/>
      <c r="C209" s="30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>
      <c r="A210" s="31"/>
      <c r="B210" s="31"/>
      <c r="C210" s="31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>
      <c r="A211" s="30"/>
      <c r="B211" s="30"/>
      <c r="C211" s="30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>
      <c r="A212" s="31"/>
      <c r="B212" s="31"/>
      <c r="C212" s="31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>
      <c r="A213" s="30"/>
      <c r="B213" s="30"/>
      <c r="C213" s="30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>
      <c r="A214" s="31"/>
      <c r="B214" s="31"/>
      <c r="C214" s="31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>
      <c r="A215" s="30"/>
      <c r="B215" s="30"/>
      <c r="C215" s="30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>
      <c r="A216" s="31"/>
      <c r="B216" s="31"/>
      <c r="C216" s="31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>
      <c r="A217" s="30"/>
      <c r="B217" s="30"/>
      <c r="C217" s="30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>
      <c r="A218" s="31"/>
      <c r="B218" s="31"/>
      <c r="C218" s="31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>
      <c r="A219" s="30"/>
      <c r="B219" s="30"/>
      <c r="C219" s="30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31"/>
      <c r="B220" s="31"/>
      <c r="C220" s="31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>
      <c r="A221" s="30"/>
      <c r="B221" s="30"/>
      <c r="C221" s="30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>
      <c r="A222" s="31"/>
      <c r="B222" s="31"/>
      <c r="C222" s="31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>
      <c r="A223" s="30"/>
      <c r="B223" s="30"/>
      <c r="C223" s="30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>
      <c r="A224" s="31"/>
      <c r="B224" s="31"/>
      <c r="C224" s="31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>
      <c r="A225" s="30"/>
      <c r="B225" s="30"/>
      <c r="C225" s="30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>
      <c r="A226" s="31"/>
      <c r="B226" s="31"/>
      <c r="C226" s="31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>
      <c r="A227" s="30"/>
      <c r="B227" s="30"/>
      <c r="C227" s="30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>
      <c r="A228" s="31"/>
      <c r="B228" s="31"/>
      <c r="C228" s="31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>
      <c r="A229" s="30"/>
      <c r="B229" s="30"/>
      <c r="C229" s="30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>
      <c r="A230" s="31"/>
      <c r="B230" s="31"/>
      <c r="C230" s="31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>
      <c r="A231" s="30"/>
      <c r="B231" s="30"/>
      <c r="C231" s="30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>
      <c r="A232" s="31"/>
      <c r="B232" s="31"/>
      <c r="C232" s="31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>
      <c r="A233" s="30"/>
      <c r="B233" s="30"/>
      <c r="C233" s="30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>
      <c r="A234" s="31"/>
      <c r="B234" s="31"/>
      <c r="C234" s="31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>
      <c r="A235" s="30"/>
      <c r="B235" s="30"/>
      <c r="C235" s="30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>
      <c r="A236" s="31"/>
      <c r="B236" s="31"/>
      <c r="C236" s="31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>
      <c r="A237" s="30"/>
      <c r="B237" s="30"/>
      <c r="C237" s="30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>
      <c r="A238" s="31"/>
      <c r="B238" s="31"/>
      <c r="C238" s="31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>
      <c r="A239" s="30"/>
      <c r="B239" s="30"/>
      <c r="C239" s="30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>
      <c r="A240" s="31"/>
      <c r="B240" s="31"/>
      <c r="C240" s="31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>
      <c r="A241" s="30"/>
      <c r="B241" s="30"/>
      <c r="C241" s="30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>
      <c r="A242" s="31"/>
      <c r="B242" s="31"/>
      <c r="C242" s="31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>
      <c r="A243" s="30"/>
      <c r="B243" s="30"/>
      <c r="C243" s="30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>
      <c r="A244" s="31"/>
      <c r="B244" s="31"/>
      <c r="C244" s="31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>
      <c r="A245" s="30"/>
      <c r="B245" s="30"/>
      <c r="C245" s="30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>
      <c r="A246" s="31"/>
      <c r="B246" s="31"/>
      <c r="C246" s="31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>
      <c r="A247" s="30"/>
      <c r="B247" s="30"/>
      <c r="C247" s="30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>
      <c r="A248" s="31"/>
      <c r="B248" s="31"/>
      <c r="C248" s="31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>
      <c r="A249" s="30"/>
      <c r="B249" s="30"/>
      <c r="C249" s="30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>
      <c r="A250" s="31"/>
      <c r="B250" s="31"/>
      <c r="C250" s="31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>
      <c r="A251" s="30"/>
      <c r="B251" s="30"/>
      <c r="C251" s="30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>
      <c r="A252" s="31"/>
      <c r="B252" s="31"/>
      <c r="C252" s="31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>
      <c r="A253" s="30"/>
      <c r="B253" s="30"/>
      <c r="C253" s="30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>
      <c r="A254" s="31"/>
      <c r="B254" s="31"/>
      <c r="C254" s="31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>
      <c r="A255" s="30"/>
      <c r="B255" s="30"/>
      <c r="C255" s="30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>
      <c r="A256" s="31"/>
      <c r="B256" s="31"/>
      <c r="C256" s="31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>
      <c r="A257" s="30"/>
      <c r="B257" s="30"/>
      <c r="C257" s="30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>
      <c r="A258" s="31"/>
      <c r="B258" s="31"/>
      <c r="C258" s="31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>
      <c r="A259" s="30"/>
      <c r="B259" s="30"/>
      <c r="C259" s="30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>
      <c r="A260" s="31"/>
      <c r="B260" s="31"/>
      <c r="C260" s="31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>
      <c r="A261" s="30"/>
      <c r="B261" s="30"/>
      <c r="C261" s="30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>
      <c r="A262" s="31"/>
      <c r="B262" s="31"/>
      <c r="C262" s="31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>
      <c r="A263" s="30"/>
      <c r="B263" s="30"/>
      <c r="C263" s="30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>
      <c r="A264" s="31"/>
      <c r="B264" s="31"/>
      <c r="C264" s="31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>
      <c r="A265" s="30"/>
      <c r="B265" s="30"/>
      <c r="C265" s="30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>
      <c r="A266" s="31"/>
      <c r="B266" s="31"/>
      <c r="C266" s="31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>
      <c r="A267" s="30"/>
      <c r="B267" s="30"/>
      <c r="C267" s="30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>
      <c r="A268" s="31"/>
      <c r="B268" s="31"/>
      <c r="C268" s="31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>
      <c r="A269" s="30"/>
      <c r="B269" s="30"/>
      <c r="C269" s="30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>
      <c r="A270" s="31"/>
      <c r="B270" s="31"/>
      <c r="C270" s="31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>
      <c r="A271" s="30"/>
      <c r="B271" s="30"/>
      <c r="C271" s="30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>
      <c r="A272" s="31"/>
      <c r="B272" s="31"/>
      <c r="C272" s="31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>
      <c r="A273" s="30"/>
      <c r="B273" s="30"/>
      <c r="C273" s="30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>
      <c r="A274" s="31"/>
      <c r="B274" s="31"/>
      <c r="C274" s="31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>
      <c r="A275" s="30"/>
      <c r="B275" s="30"/>
      <c r="C275" s="30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>
      <c r="A276" s="31"/>
      <c r="B276" s="31"/>
      <c r="C276" s="31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>
      <c r="A277" s="30"/>
      <c r="B277" s="30"/>
      <c r="C277" s="30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>
      <c r="A278" s="31"/>
      <c r="B278" s="31"/>
      <c r="C278" s="31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>
      <c r="A279" s="30"/>
      <c r="B279" s="30"/>
      <c r="C279" s="30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>
      <c r="A280" s="31"/>
      <c r="B280" s="31"/>
      <c r="C280" s="31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>
      <c r="A281" s="30"/>
      <c r="B281" s="30"/>
      <c r="C281" s="30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>
      <c r="A282" s="31"/>
      <c r="B282" s="31"/>
      <c r="C282" s="31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>
      <c r="A283" s="30"/>
      <c r="B283" s="30"/>
      <c r="C283" s="30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>
      <c r="A284" s="31"/>
      <c r="B284" s="31"/>
      <c r="C284" s="31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>
      <c r="A285" s="30"/>
      <c r="B285" s="30"/>
      <c r="C285" s="30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>
      <c r="A286" s="31"/>
      <c r="B286" s="31"/>
      <c r="C286" s="31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>
      <c r="A287" s="30"/>
      <c r="B287" s="30"/>
      <c r="C287" s="30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>
      <c r="A288" s="31"/>
      <c r="B288" s="31"/>
      <c r="C288" s="31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>
      <c r="A289" s="30"/>
      <c r="B289" s="30"/>
      <c r="C289" s="30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>
      <c r="A290" s="31"/>
      <c r="B290" s="31"/>
      <c r="C290" s="31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>
      <c r="A291" s="30"/>
      <c r="B291" s="30"/>
      <c r="C291" s="30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>
      <c r="A292" s="31"/>
      <c r="B292" s="31"/>
      <c r="C292" s="31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>
      <c r="A293" s="30"/>
      <c r="B293" s="30"/>
      <c r="C293" s="30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>
      <c r="A294" s="31"/>
      <c r="B294" s="31"/>
      <c r="C294" s="31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>
      <c r="A295" s="30"/>
      <c r="B295" s="30"/>
      <c r="C295" s="30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>
      <c r="A296" s="31"/>
      <c r="B296" s="31"/>
      <c r="C296" s="31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>
      <c r="A297" s="30"/>
      <c r="B297" s="30"/>
      <c r="C297" s="30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>
      <c r="A298" s="31"/>
      <c r="B298" s="31"/>
      <c r="C298" s="31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>
      <c r="A299" s="30"/>
      <c r="B299" s="30"/>
      <c r="C299" s="30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>
      <c r="A300" s="31"/>
      <c r="B300" s="31"/>
      <c r="C300" s="31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>
      <c r="A301" s="30"/>
      <c r="B301" s="30"/>
      <c r="C301" s="30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>
      <c r="A302" s="31"/>
      <c r="B302" s="31"/>
      <c r="C302" s="31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>
      <c r="A303" s="30"/>
      <c r="B303" s="30"/>
      <c r="C303" s="30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>
      <c r="A304" s="31"/>
      <c r="B304" s="31"/>
      <c r="C304" s="31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>
      <c r="A305" s="30"/>
      <c r="B305" s="30"/>
      <c r="C305" s="30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>
      <c r="A306" s="31"/>
      <c r="B306" s="31"/>
      <c r="C306" s="31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>
      <c r="A307" s="30"/>
      <c r="B307" s="30"/>
      <c r="C307" s="30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>
      <c r="A308" s="31"/>
      <c r="B308" s="31"/>
      <c r="C308" s="31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>
      <c r="A309" s="30"/>
      <c r="B309" s="30"/>
      <c r="C309" s="30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>
      <c r="A310" s="31"/>
      <c r="B310" s="31"/>
      <c r="C310" s="31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>
      <c r="A311" s="30"/>
      <c r="B311" s="30"/>
      <c r="C311" s="30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>
      <c r="A312" s="31"/>
      <c r="B312" s="31"/>
      <c r="C312" s="31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>
      <c r="A313" s="30"/>
      <c r="B313" s="30"/>
      <c r="C313" s="30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>
      <c r="A314" s="31"/>
      <c r="B314" s="31"/>
      <c r="C314" s="31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>
      <c r="A315" s="30"/>
      <c r="B315" s="30"/>
      <c r="C315" s="30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>
      <c r="A316" s="31"/>
      <c r="B316" s="31"/>
      <c r="C316" s="31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>
      <c r="A317" s="30"/>
      <c r="B317" s="30"/>
      <c r="C317" s="30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>
      <c r="A318" s="31"/>
      <c r="B318" s="31"/>
      <c r="C318" s="31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>
      <c r="A319" s="30"/>
      <c r="B319" s="30"/>
      <c r="C319" s="30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>
      <c r="A320" s="31"/>
      <c r="B320" s="31"/>
      <c r="C320" s="31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>
      <c r="A321" s="30"/>
      <c r="B321" s="30"/>
      <c r="C321" s="30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>
      <c r="A322" s="31"/>
      <c r="B322" s="31"/>
      <c r="C322" s="31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>
      <c r="A323" s="30"/>
      <c r="B323" s="30"/>
      <c r="C323" s="30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>
      <c r="A324" s="31"/>
      <c r="B324" s="31"/>
      <c r="C324" s="31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>
      <c r="A325" s="30"/>
      <c r="B325" s="30"/>
      <c r="C325" s="30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>
      <c r="A326" s="31"/>
      <c r="B326" s="31"/>
      <c r="C326" s="31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>
      <c r="A327" s="30"/>
      <c r="B327" s="30"/>
      <c r="C327" s="30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>
      <c r="A328" s="31"/>
      <c r="B328" s="31"/>
      <c r="C328" s="31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>
      <c r="A329" s="30"/>
      <c r="B329" s="30"/>
      <c r="C329" s="30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>
      <c r="A330" s="31"/>
      <c r="B330" s="31"/>
      <c r="C330" s="31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>
      <c r="A331" s="30"/>
      <c r="B331" s="30"/>
      <c r="C331" s="30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>
      <c r="A332" s="31"/>
      <c r="B332" s="31"/>
      <c r="C332" s="31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>
      <c r="A333" s="30"/>
      <c r="B333" s="30"/>
      <c r="C333" s="30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>
      <c r="A334" s="31"/>
      <c r="B334" s="31"/>
      <c r="C334" s="31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>
      <c r="A335" s="30"/>
      <c r="B335" s="30"/>
      <c r="C335" s="30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>
      <c r="A336" s="31"/>
      <c r="B336" s="31"/>
      <c r="C336" s="31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>
      <c r="A337" s="30"/>
      <c r="B337" s="30"/>
      <c r="C337" s="30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>
      <c r="A338" s="31"/>
      <c r="B338" s="31"/>
      <c r="C338" s="31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>
      <c r="A339" s="30"/>
      <c r="B339" s="30"/>
      <c r="C339" s="30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>
      <c r="A340" s="31"/>
      <c r="B340" s="31"/>
      <c r="C340" s="31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>
      <c r="A341" s="30"/>
      <c r="B341" s="30"/>
      <c r="C341" s="30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>
      <c r="A342" s="31"/>
      <c r="B342" s="31"/>
      <c r="C342" s="31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>
      <c r="A343" s="30"/>
      <c r="B343" s="30"/>
      <c r="C343" s="30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>
      <c r="A344" s="31"/>
      <c r="B344" s="31"/>
      <c r="C344" s="31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>
      <c r="A345" s="30"/>
      <c r="B345" s="30"/>
      <c r="C345" s="30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>
      <c r="A346" s="31"/>
      <c r="B346" s="31"/>
      <c r="C346" s="31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>
      <c r="A347" s="30"/>
      <c r="B347" s="30"/>
      <c r="C347" s="30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>
      <c r="A348" s="31"/>
      <c r="B348" s="31"/>
      <c r="C348" s="31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>
      <c r="A349" s="30"/>
      <c r="B349" s="30"/>
      <c r="C349" s="30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>
      <c r="A350" s="31"/>
      <c r="B350" s="31"/>
      <c r="C350" s="31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>
      <c r="A351" s="30"/>
      <c r="B351" s="30"/>
      <c r="C351" s="30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>
      <c r="A352" s="31"/>
      <c r="B352" s="31"/>
      <c r="C352" s="31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>
      <c r="A353" s="30"/>
      <c r="B353" s="30"/>
      <c r="C353" s="30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>
      <c r="A354" s="31"/>
      <c r="B354" s="31"/>
      <c r="C354" s="31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>
      <c r="A355" s="30"/>
      <c r="B355" s="30"/>
      <c r="C355" s="30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>
      <c r="A356" s="31"/>
      <c r="B356" s="31"/>
      <c r="C356" s="31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>
      <c r="A357" s="30"/>
      <c r="B357" s="30"/>
      <c r="C357" s="30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>
      <c r="A358" s="31"/>
      <c r="B358" s="31"/>
      <c r="C358" s="31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>
      <c r="A359" s="30"/>
      <c r="B359" s="30"/>
      <c r="C359" s="30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>
      <c r="A360" s="31"/>
      <c r="B360" s="31"/>
      <c r="C360" s="31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>
      <c r="A361" s="30"/>
      <c r="B361" s="30"/>
      <c r="C361" s="30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>
      <c r="A362" s="31"/>
      <c r="B362" s="31"/>
      <c r="C362" s="31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>
      <c r="A363" s="30"/>
      <c r="B363" s="30"/>
      <c r="C363" s="30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>
      <c r="A364" s="31"/>
      <c r="B364" s="31"/>
      <c r="C364" s="31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>
      <c r="A365" s="30"/>
      <c r="B365" s="30"/>
      <c r="C365" s="30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>
      <c r="A366" s="31"/>
      <c r="B366" s="31"/>
      <c r="C366" s="31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>
      <c r="A367" s="30"/>
      <c r="B367" s="30"/>
      <c r="C367" s="30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>
      <c r="A368" s="31"/>
      <c r="B368" s="31"/>
      <c r="C368" s="31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>
      <c r="A369" s="30"/>
      <c r="B369" s="30"/>
      <c r="C369" s="30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>
      <c r="A370" s="31"/>
      <c r="B370" s="31"/>
      <c r="C370" s="31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>
      <c r="A371" s="30"/>
      <c r="B371" s="30"/>
      <c r="C371" s="30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>
      <c r="A372" s="31"/>
      <c r="B372" s="31"/>
      <c r="C372" s="31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>
      <c r="A373" s="30"/>
      <c r="B373" s="30"/>
      <c r="C373" s="30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>
      <c r="A374" s="31"/>
      <c r="B374" s="31"/>
      <c r="C374" s="31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>
      <c r="A375" s="30"/>
      <c r="B375" s="30"/>
      <c r="C375" s="30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>
      <c r="A376" s="31"/>
      <c r="B376" s="31"/>
      <c r="C376" s="31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>
      <c r="A377" s="30"/>
      <c r="B377" s="30"/>
      <c r="C377" s="30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>
      <c r="A378" s="31"/>
      <c r="B378" s="31"/>
      <c r="C378" s="31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>
      <c r="A379" s="30"/>
      <c r="B379" s="30"/>
      <c r="C379" s="30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>
      <c r="A380" s="31"/>
      <c r="B380" s="31"/>
      <c r="C380" s="31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>
      <c r="A381" s="30"/>
      <c r="B381" s="30"/>
      <c r="C381" s="30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>
      <c r="A382" s="31"/>
      <c r="B382" s="31"/>
      <c r="C382" s="31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>
      <c r="A383" s="30"/>
      <c r="B383" s="30"/>
      <c r="C383" s="30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>
      <c r="A384" s="31"/>
      <c r="B384" s="31"/>
      <c r="C384" s="31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>
      <c r="A385" s="30"/>
      <c r="B385" s="30"/>
      <c r="C385" s="30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>
      <c r="A386" s="31"/>
      <c r="B386" s="31"/>
      <c r="C386" s="31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>
      <c r="A387" s="30"/>
      <c r="B387" s="30"/>
      <c r="C387" s="30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>
      <c r="A388" s="31"/>
      <c r="B388" s="31"/>
      <c r="C388" s="31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>
      <c r="A389" s="30"/>
      <c r="B389" s="30"/>
      <c r="C389" s="30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>
      <c r="A390" s="31"/>
      <c r="B390" s="31"/>
      <c r="C390" s="31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>
      <c r="A391" s="30"/>
      <c r="B391" s="30"/>
      <c r="C391" s="30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>
      <c r="A392" s="31"/>
      <c r="B392" s="31"/>
      <c r="C392" s="31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>
      <c r="A393" s="30"/>
      <c r="B393" s="30"/>
      <c r="C393" s="30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>
      <c r="A394" s="31"/>
      <c r="B394" s="31"/>
      <c r="C394" s="31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>
      <c r="A395" s="30"/>
      <c r="B395" s="30"/>
      <c r="C395" s="30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>
      <c r="A396" s="31"/>
      <c r="B396" s="31"/>
      <c r="C396" s="31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>
      <c r="A397" s="30"/>
      <c r="B397" s="30"/>
      <c r="C397" s="30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>
      <c r="A398" s="31"/>
      <c r="B398" s="31"/>
      <c r="C398" s="31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>
      <c r="A399" s="30"/>
      <c r="B399" s="30"/>
      <c r="C399" s="30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>
      <c r="A400" s="31"/>
      <c r="B400" s="31"/>
      <c r="C400" s="31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>
      <c r="A401" s="30"/>
      <c r="B401" s="30"/>
      <c r="C401" s="30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>
      <c r="A402" s="31"/>
      <c r="B402" s="31"/>
      <c r="C402" s="31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>
      <c r="A403" s="30"/>
      <c r="B403" s="30"/>
      <c r="C403" s="30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>
      <c r="A404" s="31"/>
      <c r="B404" s="31"/>
      <c r="C404" s="31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>
      <c r="A405" s="30"/>
      <c r="B405" s="30"/>
      <c r="C405" s="30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>
      <c r="A406" s="31"/>
      <c r="B406" s="31"/>
      <c r="C406" s="31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>
      <c r="A407" s="30"/>
      <c r="B407" s="30"/>
      <c r="C407" s="30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>
      <c r="A408" s="31"/>
      <c r="B408" s="31"/>
      <c r="C408" s="31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>
      <c r="A409" s="30"/>
      <c r="B409" s="30"/>
      <c r="C409" s="30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>
      <c r="A410" s="31"/>
      <c r="B410" s="31"/>
      <c r="C410" s="31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>
      <c r="A411" s="30"/>
      <c r="B411" s="30"/>
      <c r="C411" s="30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>
      <c r="A412" s="31"/>
      <c r="B412" s="31"/>
      <c r="C412" s="31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>
      <c r="A413" s="30"/>
      <c r="B413" s="30"/>
      <c r="C413" s="30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>
      <c r="A414" s="31"/>
      <c r="B414" s="31"/>
      <c r="C414" s="31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>
      <c r="A415" s="30"/>
      <c r="B415" s="30"/>
      <c r="C415" s="30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>
      <c r="A416" s="31"/>
      <c r="B416" s="31"/>
      <c r="C416" s="31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>
      <c r="A417" s="30"/>
      <c r="B417" s="30"/>
      <c r="C417" s="30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>
      <c r="A418" s="31"/>
      <c r="B418" s="31"/>
      <c r="C418" s="31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>
      <c r="A419" s="30"/>
      <c r="B419" s="30"/>
      <c r="C419" s="30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>
      <c r="A420" s="31"/>
      <c r="B420" s="31"/>
      <c r="C420" s="31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>
      <c r="A421" s="30"/>
      <c r="B421" s="30"/>
      <c r="C421" s="30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>
      <c r="A422" s="31"/>
      <c r="B422" s="31"/>
      <c r="C422" s="31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>
      <c r="A423" s="30"/>
      <c r="B423" s="30"/>
      <c r="C423" s="30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>
      <c r="A424" s="31"/>
      <c r="B424" s="31"/>
      <c r="C424" s="31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>
      <c r="A425" s="30"/>
      <c r="B425" s="30"/>
      <c r="C425" s="30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>
      <c r="A426" s="31"/>
      <c r="B426" s="31"/>
      <c r="C426" s="31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>
      <c r="A427" s="30"/>
      <c r="B427" s="30"/>
      <c r="C427" s="30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>
      <c r="A428" s="31"/>
      <c r="B428" s="31"/>
      <c r="C428" s="31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>
      <c r="A429" s="30"/>
      <c r="B429" s="30"/>
      <c r="C429" s="30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>
      <c r="A430" s="31"/>
      <c r="B430" s="31"/>
      <c r="C430" s="31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>
      <c r="A431" s="30"/>
      <c r="B431" s="30"/>
      <c r="C431" s="30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>
      <c r="A432" s="31"/>
      <c r="B432" s="31"/>
      <c r="C432" s="31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>
      <c r="A433" s="30"/>
      <c r="B433" s="30"/>
      <c r="C433" s="30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>
      <c r="A434" s="31"/>
      <c r="B434" s="31"/>
      <c r="C434" s="31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>
      <c r="A435" s="30"/>
      <c r="B435" s="30"/>
      <c r="C435" s="30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>
      <c r="A436" s="31"/>
      <c r="B436" s="31"/>
      <c r="C436" s="31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>
      <c r="A437" s="30"/>
      <c r="B437" s="30"/>
      <c r="C437" s="30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>
      <c r="A438" s="31"/>
      <c r="B438" s="31"/>
      <c r="C438" s="31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>
      <c r="A439" s="30"/>
      <c r="B439" s="30"/>
      <c r="C439" s="30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>
      <c r="A440" s="31"/>
      <c r="B440" s="31"/>
      <c r="C440" s="31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>
      <c r="A441" s="30"/>
      <c r="B441" s="30"/>
      <c r="C441" s="30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>
      <c r="A442" s="31"/>
      <c r="B442" s="31"/>
      <c r="C442" s="31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>
      <c r="A443" s="30"/>
      <c r="B443" s="30"/>
      <c r="C443" s="30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>
      <c r="A444" s="31"/>
      <c r="B444" s="31"/>
      <c r="C444" s="31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>
      <c r="A445" s="30"/>
      <c r="B445" s="30"/>
      <c r="C445" s="30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>
      <c r="A446" s="31"/>
      <c r="B446" s="31"/>
      <c r="C446" s="31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>
      <c r="A447" s="30"/>
      <c r="B447" s="30"/>
      <c r="C447" s="30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>
      <c r="A448" s="31"/>
      <c r="B448" s="31"/>
      <c r="C448" s="31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>
      <c r="A449" s="30"/>
      <c r="B449" s="30"/>
      <c r="C449" s="30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>
      <c r="A450" s="31"/>
      <c r="B450" s="31"/>
      <c r="C450" s="31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>
      <c r="A451" s="30"/>
      <c r="B451" s="30"/>
      <c r="C451" s="30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>
      <c r="A452" s="31"/>
      <c r="B452" s="31"/>
      <c r="C452" s="31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>
      <c r="A453" s="30"/>
      <c r="B453" s="30"/>
      <c r="C453" s="30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>
      <c r="A454" s="31"/>
      <c r="B454" s="31"/>
      <c r="C454" s="31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>
      <c r="A455" s="30"/>
      <c r="B455" s="30"/>
      <c r="C455" s="30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>
      <c r="A456" s="31"/>
      <c r="B456" s="31"/>
      <c r="C456" s="31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>
      <c r="A457" s="30"/>
      <c r="B457" s="30"/>
      <c r="C457" s="30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>
      <c r="A458" s="31"/>
      <c r="B458" s="31"/>
      <c r="C458" s="31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>
      <c r="A459" s="30"/>
      <c r="B459" s="30"/>
      <c r="C459" s="30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>
      <c r="A460" s="31"/>
      <c r="B460" s="31"/>
      <c r="C460" s="31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>
      <c r="A461" s="30"/>
      <c r="B461" s="30"/>
      <c r="C461" s="30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>
      <c r="A462" s="31"/>
      <c r="B462" s="31"/>
      <c r="C462" s="31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>
      <c r="A463" s="30"/>
      <c r="B463" s="30"/>
      <c r="C463" s="30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>
      <c r="A464" s="31"/>
      <c r="B464" s="31"/>
      <c r="C464" s="31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>
      <c r="A465" s="30"/>
      <c r="B465" s="30"/>
      <c r="C465" s="30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>
      <c r="A466" s="31"/>
      <c r="B466" s="31"/>
      <c r="C466" s="31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>
      <c r="A467" s="30"/>
      <c r="B467" s="30"/>
      <c r="C467" s="30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>
      <c r="A468" s="31"/>
      <c r="B468" s="31"/>
      <c r="C468" s="31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>
      <c r="A469" s="30"/>
      <c r="B469" s="30"/>
      <c r="C469" s="30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>
      <c r="A470" s="31"/>
      <c r="B470" s="31"/>
      <c r="C470" s="31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>
      <c r="A471" s="30"/>
      <c r="B471" s="30"/>
      <c r="C471" s="30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>
      <c r="A472" s="31"/>
      <c r="B472" s="31"/>
      <c r="C472" s="31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>
      <c r="A473" s="30"/>
      <c r="B473" s="30"/>
      <c r="C473" s="30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>
      <c r="A474" s="31"/>
      <c r="B474" s="31"/>
      <c r="C474" s="31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>
      <c r="A475" s="30"/>
      <c r="B475" s="30"/>
      <c r="C475" s="30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>
      <c r="A476" s="31"/>
      <c r="B476" s="31"/>
      <c r="C476" s="31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>
      <c r="A477" s="30"/>
      <c r="B477" s="30"/>
      <c r="C477" s="30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>
      <c r="A478" s="31"/>
      <c r="B478" s="31"/>
      <c r="C478" s="31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>
      <c r="A479" s="30"/>
      <c r="B479" s="30"/>
      <c r="C479" s="30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>
      <c r="A480" s="31"/>
      <c r="B480" s="31"/>
      <c r="C480" s="31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>
      <c r="A481" s="30"/>
      <c r="B481" s="30"/>
      <c r="C481" s="30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>
      <c r="A482" s="31"/>
      <c r="B482" s="31"/>
      <c r="C482" s="31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>
      <c r="A483" s="30"/>
      <c r="B483" s="30"/>
      <c r="C483" s="30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>
      <c r="A484" s="31"/>
      <c r="B484" s="31"/>
      <c r="C484" s="31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>
      <c r="A485" s="30"/>
      <c r="B485" s="30"/>
      <c r="C485" s="30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>
      <c r="A486" s="31"/>
      <c r="B486" s="31"/>
      <c r="C486" s="31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>
      <c r="A487" s="30"/>
      <c r="B487" s="30"/>
      <c r="C487" s="30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>
      <c r="A488" s="31"/>
      <c r="B488" s="31"/>
      <c r="C488" s="31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>
      <c r="A489" s="30"/>
      <c r="B489" s="30"/>
      <c r="C489" s="30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>
      <c r="A490" s="31"/>
      <c r="B490" s="31"/>
      <c r="C490" s="31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>
      <c r="A491" s="30"/>
      <c r="B491" s="30"/>
      <c r="C491" s="30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>
      <c r="A492" s="31"/>
      <c r="B492" s="31"/>
      <c r="C492" s="31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>
      <c r="A493" s="30"/>
      <c r="B493" s="30"/>
      <c r="C493" s="30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>
      <c r="A494" s="31"/>
      <c r="B494" s="31"/>
      <c r="C494" s="31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>
      <c r="A495" s="30"/>
      <c r="B495" s="30"/>
      <c r="C495" s="30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>
      <c r="A496" s="31"/>
      <c r="B496" s="31"/>
      <c r="C496" s="31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>
      <c r="A497" s="30"/>
      <c r="B497" s="30"/>
      <c r="C497" s="30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>
      <c r="A498" s="31"/>
      <c r="B498" s="31"/>
      <c r="C498" s="31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>
      <c r="A499" s="30"/>
      <c r="B499" s="30"/>
      <c r="C499" s="30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>
      <c r="A500" s="31"/>
      <c r="B500" s="31"/>
      <c r="C500" s="31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>
      <c r="A501" s="30"/>
      <c r="B501" s="30"/>
      <c r="C501" s="30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>
      <c r="A502" s="31"/>
      <c r="B502" s="31"/>
      <c r="C502" s="31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>
      <c r="A503" s="30"/>
      <c r="B503" s="30"/>
      <c r="C503" s="30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>
      <c r="A504" s="31"/>
      <c r="B504" s="31"/>
      <c r="C504" s="31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>
      <c r="A505" s="30"/>
      <c r="B505" s="30"/>
      <c r="C505" s="30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>
      <c r="A506" s="31"/>
      <c r="B506" s="31"/>
      <c r="C506" s="31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>
      <c r="A507" s="30"/>
      <c r="B507" s="30"/>
      <c r="C507" s="30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>
      <c r="A508" s="31"/>
      <c r="B508" s="31"/>
      <c r="C508" s="31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>
      <c r="A509" s="30"/>
      <c r="B509" s="30"/>
      <c r="C509" s="30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>
      <c r="A510" s="31"/>
      <c r="B510" s="31"/>
      <c r="C510" s="31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>
      <c r="A511" s="30"/>
      <c r="B511" s="30"/>
      <c r="C511" s="30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>
      <c r="A512" s="31"/>
      <c r="B512" s="31"/>
      <c r="C512" s="31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>
      <c r="A513" s="30"/>
      <c r="B513" s="30"/>
      <c r="C513" s="30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>
      <c r="A514" s="31"/>
      <c r="B514" s="31"/>
      <c r="C514" s="31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>
      <c r="A515" s="30"/>
      <c r="B515" s="30"/>
      <c r="C515" s="30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>
      <c r="A516" s="31"/>
      <c r="B516" s="31"/>
      <c r="C516" s="31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>
      <c r="A517" s="30"/>
      <c r="B517" s="30"/>
      <c r="C517" s="30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>
      <c r="A518" s="31"/>
      <c r="B518" s="31"/>
      <c r="C518" s="31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>
      <c r="A519" s="30"/>
      <c r="B519" s="30"/>
      <c r="C519" s="30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>
      <c r="A520" s="31"/>
      <c r="B520" s="31"/>
      <c r="C520" s="31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>
      <c r="A521" s="30"/>
      <c r="B521" s="30"/>
      <c r="C521" s="30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>
      <c r="A522" s="31"/>
      <c r="B522" s="31"/>
      <c r="C522" s="31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>
      <c r="A523" s="30"/>
      <c r="B523" s="30"/>
      <c r="C523" s="30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>
      <c r="A524" s="31"/>
      <c r="B524" s="31"/>
      <c r="C524" s="31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>
      <c r="A525" s="30"/>
      <c r="B525" s="30"/>
      <c r="C525" s="30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>
      <c r="A526" s="31"/>
      <c r="B526" s="31"/>
      <c r="C526" s="31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>
      <c r="A527" s="30"/>
      <c r="B527" s="30"/>
      <c r="C527" s="30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>
      <c r="A528" s="31"/>
      <c r="B528" s="31"/>
      <c r="C528" s="31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>
      <c r="A529" s="30"/>
      <c r="B529" s="30"/>
      <c r="C529" s="30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>
      <c r="A530" s="31"/>
      <c r="B530" s="31"/>
      <c r="C530" s="31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>
      <c r="A531" s="30"/>
      <c r="B531" s="30"/>
      <c r="C531" s="30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>
      <c r="A532" s="31"/>
      <c r="B532" s="31"/>
      <c r="C532" s="31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>
      <c r="A533" s="30"/>
      <c r="B533" s="30"/>
      <c r="C533" s="30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>
      <c r="A534" s="31"/>
      <c r="B534" s="31"/>
      <c r="C534" s="31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>
      <c r="A535" s="30"/>
      <c r="B535" s="30"/>
      <c r="C535" s="30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>
      <c r="A536" s="31"/>
      <c r="B536" s="31"/>
      <c r="C536" s="31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>
      <c r="A537" s="30"/>
      <c r="B537" s="30"/>
      <c r="C537" s="30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>
      <c r="A538" s="31"/>
      <c r="B538" s="31"/>
      <c r="C538" s="31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>
      <c r="A539" s="30"/>
      <c r="B539" s="30"/>
      <c r="C539" s="30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>
      <c r="A540" s="31"/>
      <c r="B540" s="31"/>
      <c r="C540" s="31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>
      <c r="A541" s="30"/>
      <c r="B541" s="30"/>
      <c r="C541" s="30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>
      <c r="A542" s="31"/>
      <c r="B542" s="31"/>
      <c r="C542" s="31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>
      <c r="A543" s="30"/>
      <c r="B543" s="30"/>
      <c r="C543" s="30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>
      <c r="A544" s="31"/>
      <c r="B544" s="31"/>
      <c r="C544" s="31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>
      <c r="A545" s="30"/>
      <c r="B545" s="30"/>
      <c r="C545" s="30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>
      <c r="A546" s="31"/>
      <c r="B546" s="31"/>
      <c r="C546" s="31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>
      <c r="A547" s="30"/>
      <c r="B547" s="30"/>
      <c r="C547" s="30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>
      <c r="A548" s="31"/>
      <c r="B548" s="31"/>
      <c r="C548" s="31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>
      <c r="A549" s="30"/>
      <c r="B549" s="30"/>
      <c r="C549" s="30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>
      <c r="A550" s="31"/>
      <c r="B550" s="31"/>
      <c r="C550" s="31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>
      <c r="A551" s="30"/>
      <c r="B551" s="30"/>
      <c r="C551" s="30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>
      <c r="A552" s="31"/>
      <c r="B552" s="31"/>
      <c r="C552" s="31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>
      <c r="A553" s="30"/>
      <c r="B553" s="30"/>
      <c r="C553" s="30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>
      <c r="A554" s="31"/>
      <c r="B554" s="31"/>
      <c r="C554" s="31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>
      <c r="A555" s="30"/>
      <c r="B555" s="30"/>
      <c r="C555" s="30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>
      <c r="A556" s="31"/>
      <c r="B556" s="31"/>
      <c r="C556" s="31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>
      <c r="A557" s="30"/>
      <c r="B557" s="30"/>
      <c r="C557" s="30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>
      <c r="A558" s="31"/>
      <c r="B558" s="31"/>
      <c r="C558" s="31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>
      <c r="A559" s="30"/>
      <c r="B559" s="30"/>
      <c r="C559" s="30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>
      <c r="A560" s="31"/>
      <c r="B560" s="31"/>
      <c r="C560" s="31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>
      <c r="A561" s="30"/>
      <c r="B561" s="30"/>
      <c r="C561" s="30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>
      <c r="A562" s="31"/>
      <c r="B562" s="31"/>
      <c r="C562" s="31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>
      <c r="A563" s="30"/>
      <c r="B563" s="30"/>
      <c r="C563" s="30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>
      <c r="A564" s="31"/>
      <c r="B564" s="31"/>
      <c r="C564" s="31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>
      <c r="A565" s="30"/>
      <c r="B565" s="30"/>
      <c r="C565" s="30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>
      <c r="A566" s="31"/>
      <c r="B566" s="31"/>
      <c r="C566" s="31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>
      <c r="A567" s="30"/>
      <c r="B567" s="30"/>
      <c r="C567" s="30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>
      <c r="A568" s="31"/>
      <c r="B568" s="31"/>
      <c r="C568" s="31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>
      <c r="A569" s="30"/>
      <c r="B569" s="30"/>
      <c r="C569" s="30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>
      <c r="A570" s="31"/>
      <c r="B570" s="31"/>
      <c r="C570" s="31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>
      <c r="A571" s="30"/>
      <c r="B571" s="30"/>
      <c r="C571" s="30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>
      <c r="A572" s="31"/>
      <c r="B572" s="31"/>
      <c r="C572" s="31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>
      <c r="A573" s="30"/>
      <c r="B573" s="30"/>
      <c r="C573" s="30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>
      <c r="A574" s="31"/>
      <c r="B574" s="31"/>
      <c r="C574" s="31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>
      <c r="A575" s="30"/>
      <c r="B575" s="30"/>
      <c r="C575" s="30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>
      <c r="A576" s="31"/>
      <c r="B576" s="31"/>
      <c r="C576" s="31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>
      <c r="A577" s="30"/>
      <c r="B577" s="30"/>
      <c r="C577" s="30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>
      <c r="A578" s="31"/>
      <c r="B578" s="31"/>
      <c r="C578" s="31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>
      <c r="A579" s="30"/>
      <c r="B579" s="30"/>
      <c r="C579" s="30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>
      <c r="A580" s="31"/>
      <c r="B580" s="31"/>
      <c r="C580" s="31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>
      <c r="A581" s="30"/>
      <c r="B581" s="30"/>
      <c r="C581" s="30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>
      <c r="A582" s="31"/>
      <c r="B582" s="31"/>
      <c r="C582" s="31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>
      <c r="A583" s="30"/>
      <c r="B583" s="30"/>
      <c r="C583" s="30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>
      <c r="A584" s="31"/>
      <c r="B584" s="31"/>
      <c r="C584" s="31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>
      <c r="A585" s="30"/>
      <c r="B585" s="30"/>
      <c r="C585" s="30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>
      <c r="A586" s="31"/>
      <c r="B586" s="31"/>
      <c r="C586" s="31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>
      <c r="A587" s="30"/>
      <c r="B587" s="30"/>
      <c r="C587" s="30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>
      <c r="A588" s="31"/>
      <c r="B588" s="31"/>
      <c r="C588" s="31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>
      <c r="A589" s="30"/>
      <c r="B589" s="30"/>
      <c r="C589" s="30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>
      <c r="A590" s="31"/>
      <c r="B590" s="31"/>
      <c r="C590" s="31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>
      <c r="A591" s="30"/>
      <c r="B591" s="30"/>
      <c r="C591" s="30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>
      <c r="A592" s="31"/>
      <c r="B592" s="31"/>
      <c r="C592" s="31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>
      <c r="A593" s="30"/>
      <c r="B593" s="30"/>
      <c r="C593" s="30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>
      <c r="A594" s="31"/>
      <c r="B594" s="31"/>
      <c r="C594" s="31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>
      <c r="A595" s="30"/>
      <c r="B595" s="30"/>
      <c r="C595" s="30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>
      <c r="A596" s="31"/>
      <c r="B596" s="31"/>
      <c r="C596" s="31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>
      <c r="A597" s="30"/>
      <c r="B597" s="30"/>
      <c r="C597" s="30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>
      <c r="A598" s="31"/>
      <c r="B598" s="31"/>
      <c r="C598" s="31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>
      <c r="A599" s="30"/>
      <c r="B599" s="30"/>
      <c r="C599" s="30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>
      <c r="A600" s="31"/>
      <c r="B600" s="31"/>
      <c r="C600" s="31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>
      <c r="A601" s="30"/>
      <c r="B601" s="30"/>
      <c r="C601" s="30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>
      <c r="A602" s="31"/>
      <c r="B602" s="31"/>
      <c r="C602" s="31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>
      <c r="A603" s="30"/>
      <c r="B603" s="30"/>
      <c r="C603" s="30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>
      <c r="A604" s="31"/>
      <c r="B604" s="31"/>
      <c r="C604" s="31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>
      <c r="A605" s="30"/>
      <c r="B605" s="30"/>
      <c r="C605" s="30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>
      <c r="A606" s="31"/>
      <c r="B606" s="31"/>
      <c r="C606" s="31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>
      <c r="A607" s="30"/>
      <c r="B607" s="30"/>
      <c r="C607" s="30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>
      <c r="A608" s="31"/>
      <c r="B608" s="31"/>
      <c r="C608" s="31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>
      <c r="A609" s="30"/>
      <c r="B609" s="30"/>
      <c r="C609" s="30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>
      <c r="A610" s="31"/>
      <c r="B610" s="31"/>
      <c r="C610" s="31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>
      <c r="A611" s="30"/>
      <c r="B611" s="30"/>
      <c r="C611" s="30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>
      <c r="A612" s="31"/>
      <c r="B612" s="31"/>
      <c r="C612" s="31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>
      <c r="A613" s="30"/>
      <c r="B613" s="30"/>
      <c r="C613" s="30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>
      <c r="A614" s="31"/>
      <c r="B614" s="31"/>
      <c r="C614" s="31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>
      <c r="A615" s="30"/>
      <c r="B615" s="30"/>
      <c r="C615" s="30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>
      <c r="A616" s="31"/>
      <c r="B616" s="31"/>
      <c r="C616" s="31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>
      <c r="A617" s="30"/>
      <c r="B617" s="30"/>
      <c r="C617" s="30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>
      <c r="A618" s="31"/>
      <c r="B618" s="31"/>
      <c r="C618" s="31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>
      <c r="A619" s="30"/>
      <c r="B619" s="30"/>
      <c r="C619" s="30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>
      <c r="A620" s="31"/>
      <c r="B620" s="31"/>
      <c r="C620" s="31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>
      <c r="A621" s="30"/>
      <c r="B621" s="30"/>
      <c r="C621" s="30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>
      <c r="A622" s="31"/>
      <c r="B622" s="31"/>
      <c r="C622" s="31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>
      <c r="A623" s="30"/>
      <c r="B623" s="30"/>
      <c r="C623" s="30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>
      <c r="A624" s="31"/>
      <c r="B624" s="31"/>
      <c r="C624" s="31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>
      <c r="A625" s="30"/>
      <c r="B625" s="30"/>
      <c r="C625" s="30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>
      <c r="A626" s="31"/>
      <c r="B626" s="31"/>
      <c r="C626" s="31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>
      <c r="A627" s="30"/>
      <c r="B627" s="30"/>
      <c r="C627" s="30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>
      <c r="A628" s="31"/>
      <c r="B628" s="31"/>
      <c r="C628" s="31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>
      <c r="A629" s="30"/>
      <c r="B629" s="30"/>
      <c r="C629" s="30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>
      <c r="A630" s="31"/>
      <c r="B630" s="31"/>
      <c r="C630" s="31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>
      <c r="A631" s="30"/>
      <c r="B631" s="30"/>
      <c r="C631" s="30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>
      <c r="A632" s="31"/>
      <c r="B632" s="31"/>
      <c r="C632" s="31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>
      <c r="A633" s="30"/>
      <c r="B633" s="30"/>
      <c r="C633" s="30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>
      <c r="A634" s="31"/>
      <c r="B634" s="31"/>
      <c r="C634" s="31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>
      <c r="A635" s="30"/>
      <c r="B635" s="30"/>
      <c r="C635" s="30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>
      <c r="A636" s="31"/>
      <c r="B636" s="31"/>
      <c r="C636" s="31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>
      <c r="A637" s="30"/>
      <c r="B637" s="30"/>
      <c r="C637" s="30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>
      <c r="A638" s="31"/>
      <c r="B638" s="31"/>
      <c r="C638" s="31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>
      <c r="A639" s="30"/>
      <c r="B639" s="30"/>
      <c r="C639" s="30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>
      <c r="A640" s="31"/>
      <c r="B640" s="31"/>
      <c r="C640" s="31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>
      <c r="A641" s="30"/>
      <c r="B641" s="30"/>
      <c r="C641" s="30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>
      <c r="A642" s="31"/>
      <c r="B642" s="31"/>
      <c r="C642" s="31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>
      <c r="A643" s="30"/>
      <c r="B643" s="30"/>
      <c r="C643" s="30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>
      <c r="A644" s="31"/>
      <c r="B644" s="31"/>
      <c r="C644" s="31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>
      <c r="A645" s="30"/>
      <c r="B645" s="30"/>
      <c r="C645" s="30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>
      <c r="A646" s="31"/>
      <c r="B646" s="31"/>
      <c r="C646" s="31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>
      <c r="A647" s="30"/>
      <c r="B647" s="30"/>
      <c r="C647" s="30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>
      <c r="A648" s="31"/>
      <c r="B648" s="31"/>
      <c r="C648" s="31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>
      <c r="A649" s="30"/>
      <c r="B649" s="30"/>
      <c r="C649" s="30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>
      <c r="A650" s="31"/>
      <c r="B650" s="31"/>
      <c r="C650" s="31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>
      <c r="A651" s="30"/>
      <c r="B651" s="30"/>
      <c r="C651" s="30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>
      <c r="A652" s="31"/>
      <c r="B652" s="31"/>
      <c r="C652" s="31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>
      <c r="A653" s="30"/>
      <c r="B653" s="30"/>
      <c r="C653" s="30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>
      <c r="A654" s="31"/>
      <c r="B654" s="31"/>
      <c r="C654" s="31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>
      <c r="A655" s="30"/>
      <c r="B655" s="30"/>
      <c r="C655" s="30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>
      <c r="A656" s="31"/>
      <c r="B656" s="31"/>
      <c r="C656" s="31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>
      <c r="A657" s="30"/>
      <c r="B657" s="30"/>
      <c r="C657" s="30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>
      <c r="A658" s="31"/>
      <c r="B658" s="31"/>
      <c r="C658" s="31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>
      <c r="A659" s="30"/>
      <c r="B659" s="30"/>
      <c r="C659" s="30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>
      <c r="A660" s="31"/>
      <c r="B660" s="31"/>
      <c r="C660" s="31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>
      <c r="A661" s="30"/>
      <c r="B661" s="30"/>
      <c r="C661" s="30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>
      <c r="A662" s="31"/>
      <c r="B662" s="31"/>
      <c r="C662" s="31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>
      <c r="A663" s="30"/>
      <c r="B663" s="30"/>
      <c r="C663" s="30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>
      <c r="A664" s="31"/>
      <c r="B664" s="31"/>
      <c r="C664" s="31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>
      <c r="A665" s="30"/>
      <c r="B665" s="30"/>
      <c r="C665" s="30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>
      <c r="A666" s="31"/>
      <c r="B666" s="31"/>
      <c r="C666" s="31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>
      <c r="A667" s="30"/>
      <c r="B667" s="30"/>
      <c r="C667" s="30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>
      <c r="A668" s="31"/>
      <c r="B668" s="31"/>
      <c r="C668" s="31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>
      <c r="A669" s="30"/>
      <c r="B669" s="30"/>
      <c r="C669" s="30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>
      <c r="A670" s="31"/>
      <c r="B670" s="31"/>
      <c r="C670" s="31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>
      <c r="A671" s="30"/>
      <c r="B671" s="30"/>
      <c r="C671" s="30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>
      <c r="A672" s="31"/>
      <c r="B672" s="31"/>
      <c r="C672" s="31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>
      <c r="A673" s="30"/>
      <c r="B673" s="30"/>
      <c r="C673" s="30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>
      <c r="A674" s="31"/>
      <c r="B674" s="31"/>
      <c r="C674" s="31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>
      <c r="A675" s="30"/>
      <c r="B675" s="30"/>
      <c r="C675" s="30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>
      <c r="A676" s="31"/>
      <c r="B676" s="31"/>
      <c r="C676" s="31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>
      <c r="A677" s="30"/>
      <c r="B677" s="30"/>
      <c r="C677" s="30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>
      <c r="A678" s="31"/>
      <c r="B678" s="31"/>
      <c r="C678" s="31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>
      <c r="A679" s="30"/>
      <c r="B679" s="30"/>
      <c r="C679" s="30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>
      <c r="A680" s="31"/>
      <c r="B680" s="31"/>
      <c r="C680" s="31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>
      <c r="A681" s="30"/>
      <c r="B681" s="30"/>
      <c r="C681" s="30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>
      <c r="A682" s="31"/>
      <c r="B682" s="31"/>
      <c r="C682" s="31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>
      <c r="A683" s="30"/>
      <c r="B683" s="30"/>
      <c r="C683" s="30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>
      <c r="A684" s="31"/>
      <c r="B684" s="31"/>
      <c r="C684" s="31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>
      <c r="A685" s="30"/>
      <c r="B685" s="30"/>
      <c r="C685" s="30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>
      <c r="A686" s="31"/>
      <c r="B686" s="31"/>
      <c r="C686" s="31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>
      <c r="A687" s="30"/>
      <c r="B687" s="30"/>
      <c r="C687" s="30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>
      <c r="A688" s="31"/>
      <c r="B688" s="31"/>
      <c r="C688" s="31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>
      <c r="A689" s="30"/>
      <c r="B689" s="30"/>
      <c r="C689" s="30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>
      <c r="A690" s="31"/>
      <c r="B690" s="31"/>
      <c r="C690" s="31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>
      <c r="A691" s="30"/>
      <c r="B691" s="30"/>
      <c r="C691" s="30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>
      <c r="A692" s="31"/>
      <c r="B692" s="31"/>
      <c r="C692" s="31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>
      <c r="A693" s="30"/>
      <c r="B693" s="30"/>
      <c r="C693" s="30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>
      <c r="A694" s="31"/>
      <c r="B694" s="31"/>
      <c r="C694" s="31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>
      <c r="A695" s="30"/>
      <c r="B695" s="30"/>
      <c r="C695" s="30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>
      <c r="A696" s="31"/>
      <c r="B696" s="31"/>
      <c r="C696" s="31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>
      <c r="A697" s="30"/>
      <c r="B697" s="30"/>
      <c r="C697" s="30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>
      <c r="A698" s="31"/>
      <c r="B698" s="31"/>
      <c r="C698" s="31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>
      <c r="A699" s="30"/>
      <c r="B699" s="30"/>
      <c r="C699" s="30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>
      <c r="A700" s="31"/>
      <c r="B700" s="31"/>
      <c r="C700" s="31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>
      <c r="A701" s="30"/>
      <c r="B701" s="30"/>
      <c r="C701" s="30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>
      <c r="A702" s="31"/>
      <c r="B702" s="31"/>
      <c r="C702" s="31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>
      <c r="A703" s="30"/>
      <c r="B703" s="30"/>
      <c r="C703" s="30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>
      <c r="A704" s="31"/>
      <c r="B704" s="31"/>
      <c r="C704" s="31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>
      <c r="A705" s="30"/>
      <c r="B705" s="30"/>
      <c r="C705" s="30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>
      <c r="A706" s="31"/>
      <c r="B706" s="31"/>
      <c r="C706" s="31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>
      <c r="A707" s="30"/>
      <c r="B707" s="30"/>
      <c r="C707" s="30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>
      <c r="A708" s="31"/>
      <c r="B708" s="31"/>
      <c r="C708" s="31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>
      <c r="A709" s="30"/>
      <c r="B709" s="30"/>
      <c r="C709" s="30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>
      <c r="A710" s="31"/>
      <c r="B710" s="31"/>
      <c r="C710" s="31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>
      <c r="A711" s="30"/>
      <c r="B711" s="30"/>
      <c r="C711" s="30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>
      <c r="A712" s="31"/>
      <c r="B712" s="31"/>
      <c r="C712" s="31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>
      <c r="A713" s="30"/>
      <c r="B713" s="30"/>
      <c r="C713" s="30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>
      <c r="A714" s="31"/>
      <c r="B714" s="31"/>
      <c r="C714" s="31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>
      <c r="A715" s="30"/>
      <c r="B715" s="30"/>
      <c r="C715" s="30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>
      <c r="A716" s="31"/>
      <c r="B716" s="31"/>
      <c r="C716" s="31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>
      <c r="A717" s="30"/>
      <c r="B717" s="30"/>
      <c r="C717" s="30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>
      <c r="A718" s="31"/>
      <c r="B718" s="31"/>
      <c r="C718" s="31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>
      <c r="A719" s="30"/>
      <c r="B719" s="30"/>
      <c r="C719" s="30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>
      <c r="A720" s="31"/>
      <c r="B720" s="31"/>
      <c r="C720" s="31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>
      <c r="A721" s="30"/>
      <c r="B721" s="30"/>
      <c r="C721" s="30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>
      <c r="A722" s="31"/>
      <c r="B722" s="31"/>
      <c r="C722" s="31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>
      <c r="A723" s="30"/>
      <c r="B723" s="30"/>
      <c r="C723" s="30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>
      <c r="A724" s="31"/>
      <c r="B724" s="31"/>
      <c r="C724" s="31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>
      <c r="A725" s="30"/>
      <c r="B725" s="30"/>
      <c r="C725" s="30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>
      <c r="A726" s="31"/>
      <c r="B726" s="31"/>
      <c r="C726" s="31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>
      <c r="A727" s="30"/>
      <c r="B727" s="30"/>
      <c r="C727" s="30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>
      <c r="A728" s="31"/>
      <c r="B728" s="31"/>
      <c r="C728" s="31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>
      <c r="A729" s="30"/>
      <c r="B729" s="30"/>
      <c r="C729" s="30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>
      <c r="A730" s="31"/>
      <c r="B730" s="31"/>
      <c r="C730" s="31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>
      <c r="A731" s="30"/>
      <c r="B731" s="30"/>
      <c r="C731" s="30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>
      <c r="A732" s="31"/>
      <c r="B732" s="31"/>
      <c r="C732" s="31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>
      <c r="A733" s="30"/>
      <c r="B733" s="30"/>
      <c r="C733" s="30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>
      <c r="A734" s="31"/>
      <c r="B734" s="31"/>
      <c r="C734" s="31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>
      <c r="A735" s="30"/>
      <c r="B735" s="30"/>
      <c r="C735" s="30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>
      <c r="A736" s="31"/>
      <c r="B736" s="31"/>
      <c r="C736" s="31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>
      <c r="A737" s="30"/>
      <c r="B737" s="30"/>
      <c r="C737" s="30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>
      <c r="A738" s="31"/>
      <c r="B738" s="31"/>
      <c r="C738" s="31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>
      <c r="A739" s="30"/>
      <c r="B739" s="30"/>
      <c r="C739" s="30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>
      <c r="A740" s="31"/>
      <c r="B740" s="31"/>
      <c r="C740" s="31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>
      <c r="A741" s="30"/>
      <c r="B741" s="30"/>
      <c r="C741" s="30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>
      <c r="A742" s="31"/>
      <c r="B742" s="31"/>
      <c r="C742" s="31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>
      <c r="A743" s="30"/>
      <c r="B743" s="30"/>
      <c r="C743" s="30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>
      <c r="A744" s="31"/>
      <c r="B744" s="31"/>
      <c r="C744" s="31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>
      <c r="A745" s="30"/>
      <c r="B745" s="30"/>
      <c r="C745" s="30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>
      <c r="A746" s="31"/>
      <c r="B746" s="31"/>
      <c r="C746" s="31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>
      <c r="A747" s="30"/>
      <c r="B747" s="30"/>
      <c r="C747" s="30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>
      <c r="A748" s="31"/>
      <c r="B748" s="31"/>
      <c r="C748" s="31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>
      <c r="A749" s="30"/>
      <c r="B749" s="30"/>
      <c r="C749" s="30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>
      <c r="A750" s="31"/>
      <c r="B750" s="31"/>
      <c r="C750" s="31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>
      <c r="A751" s="30"/>
      <c r="B751" s="30"/>
      <c r="C751" s="30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>
      <c r="A752" s="31"/>
      <c r="B752" s="31"/>
      <c r="C752" s="31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>
      <c r="A753" s="30"/>
      <c r="B753" s="30"/>
      <c r="C753" s="30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>
      <c r="A754" s="31"/>
      <c r="B754" s="31"/>
      <c r="C754" s="31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>
      <c r="A755" s="30"/>
      <c r="B755" s="30"/>
      <c r="C755" s="30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>
      <c r="A756" s="31"/>
      <c r="B756" s="31"/>
      <c r="C756" s="31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>
      <c r="A757" s="30"/>
      <c r="B757" s="30"/>
      <c r="C757" s="30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>
      <c r="A758" s="31"/>
      <c r="B758" s="31"/>
      <c r="C758" s="31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>
      <c r="A759" s="30"/>
      <c r="B759" s="30"/>
      <c r="C759" s="30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>
      <c r="A760" s="31"/>
      <c r="B760" s="31"/>
      <c r="C760" s="31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>
      <c r="A761" s="30"/>
      <c r="B761" s="30"/>
      <c r="C761" s="30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>
      <c r="A762" s="31"/>
      <c r="B762" s="31"/>
      <c r="C762" s="31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>
      <c r="A763" s="30"/>
      <c r="B763" s="30"/>
      <c r="C763" s="30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>
      <c r="A764" s="31"/>
      <c r="B764" s="31"/>
      <c r="C764" s="31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>
      <c r="A765" s="30"/>
      <c r="B765" s="30"/>
      <c r="C765" s="30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>
      <c r="A766" s="31"/>
      <c r="B766" s="31"/>
      <c r="C766" s="31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>
      <c r="A767" s="30"/>
      <c r="B767" s="30"/>
      <c r="C767" s="30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>
      <c r="A768" s="31"/>
      <c r="B768" s="31"/>
      <c r="C768" s="31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>
      <c r="A769" s="30"/>
      <c r="B769" s="30"/>
      <c r="C769" s="30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>
      <c r="A770" s="31"/>
      <c r="B770" s="31"/>
      <c r="C770" s="31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>
      <c r="A771" s="30"/>
      <c r="B771" s="30"/>
      <c r="C771" s="30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>
      <c r="A772" s="31"/>
      <c r="B772" s="31"/>
      <c r="C772" s="31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>
      <c r="A773" s="30"/>
      <c r="B773" s="30"/>
      <c r="C773" s="30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>
      <c r="A774" s="31"/>
      <c r="B774" s="31"/>
      <c r="C774" s="31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>
      <c r="A775" s="30"/>
      <c r="B775" s="30"/>
      <c r="C775" s="30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>
      <c r="A776" s="31"/>
      <c r="B776" s="31"/>
      <c r="C776" s="31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>
      <c r="A777" s="30"/>
      <c r="B777" s="30"/>
      <c r="C777" s="30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>
      <c r="A778" s="31"/>
      <c r="B778" s="31"/>
      <c r="C778" s="31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>
      <c r="A779" s="30"/>
      <c r="B779" s="30"/>
      <c r="C779" s="30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>
      <c r="A780" s="31"/>
      <c r="B780" s="31"/>
      <c r="C780" s="31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>
      <c r="A781" s="30"/>
      <c r="B781" s="30"/>
      <c r="C781" s="30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>
      <c r="A782" s="31"/>
      <c r="B782" s="31"/>
      <c r="C782" s="31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>
      <c r="A783" s="30"/>
      <c r="B783" s="30"/>
      <c r="C783" s="30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>
      <c r="A784" s="31"/>
      <c r="B784" s="31"/>
      <c r="C784" s="31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>
      <c r="A785" s="30"/>
      <c r="B785" s="30"/>
      <c r="C785" s="30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>
      <c r="A786" s="31"/>
      <c r="B786" s="31"/>
      <c r="C786" s="31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>
      <c r="A787" s="30"/>
      <c r="B787" s="30"/>
      <c r="C787" s="30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>
      <c r="A788" s="31"/>
      <c r="B788" s="31"/>
      <c r="C788" s="31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>
      <c r="A789" s="30"/>
      <c r="B789" s="30"/>
      <c r="C789" s="30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>
      <c r="A790" s="31"/>
      <c r="B790" s="31"/>
      <c r="C790" s="31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>
      <c r="A791" s="30"/>
      <c r="B791" s="30"/>
      <c r="C791" s="30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>
      <c r="A792" s="31"/>
      <c r="B792" s="31"/>
      <c r="C792" s="31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>
      <c r="A793" s="30"/>
      <c r="B793" s="30"/>
      <c r="C793" s="30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>
      <c r="A794" s="31"/>
      <c r="B794" s="31"/>
      <c r="C794" s="31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>
      <c r="A795" s="30"/>
      <c r="B795" s="30"/>
      <c r="C795" s="30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>
      <c r="A796" s="31"/>
      <c r="B796" s="31"/>
      <c r="C796" s="31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>
      <c r="A797" s="30"/>
      <c r="B797" s="30"/>
      <c r="C797" s="30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>
      <c r="A798" s="31"/>
      <c r="B798" s="31"/>
      <c r="C798" s="31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>
      <c r="A799" s="30"/>
      <c r="B799" s="30"/>
      <c r="C799" s="30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>
      <c r="A800" s="31"/>
      <c r="B800" s="31"/>
      <c r="C800" s="31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>
      <c r="A801" s="30"/>
      <c r="B801" s="30"/>
      <c r="C801" s="30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>
      <c r="A802" s="31"/>
      <c r="B802" s="31"/>
      <c r="C802" s="31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>
      <c r="A803" s="30"/>
      <c r="B803" s="30"/>
      <c r="C803" s="30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>
      <c r="A804" s="31"/>
      <c r="B804" s="31"/>
      <c r="C804" s="31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>
      <c r="A805" s="30"/>
      <c r="B805" s="30"/>
      <c r="C805" s="30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>
      <c r="A806" s="31"/>
      <c r="B806" s="31"/>
      <c r="C806" s="31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>
      <c r="A807" s="30"/>
      <c r="B807" s="30"/>
      <c r="C807" s="30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>
      <c r="A808" s="31"/>
      <c r="B808" s="31"/>
      <c r="C808" s="31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>
      <c r="A809" s="30"/>
      <c r="B809" s="30"/>
      <c r="C809" s="30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>
      <c r="A810" s="31"/>
      <c r="B810" s="31"/>
      <c r="C810" s="31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>
      <c r="A811" s="30"/>
      <c r="B811" s="30"/>
      <c r="C811" s="30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>
      <c r="A812" s="31"/>
      <c r="B812" s="31"/>
      <c r="C812" s="31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>
      <c r="A813" s="30"/>
      <c r="B813" s="30"/>
      <c r="C813" s="30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>
      <c r="A814" s="31"/>
      <c r="B814" s="31"/>
      <c r="C814" s="31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>
      <c r="A815" s="30"/>
      <c r="B815" s="30"/>
      <c r="C815" s="30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>
      <c r="A816" s="31"/>
      <c r="B816" s="31"/>
      <c r="C816" s="31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>
      <c r="A817" s="30"/>
      <c r="B817" s="30"/>
      <c r="C817" s="30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>
      <c r="A818" s="31"/>
      <c r="B818" s="31"/>
      <c r="C818" s="31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>
      <c r="A819" s="30"/>
      <c r="B819" s="30"/>
      <c r="C819" s="30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>
      <c r="A820" s="31"/>
      <c r="B820" s="31"/>
      <c r="C820" s="31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>
      <c r="A821" s="30"/>
      <c r="B821" s="30"/>
      <c r="C821" s="30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>
      <c r="A822" s="31"/>
      <c r="B822" s="31"/>
      <c r="C822" s="31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>
      <c r="A823" s="30"/>
      <c r="B823" s="30"/>
      <c r="C823" s="30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>
      <c r="A824" s="31"/>
      <c r="B824" s="31"/>
      <c r="C824" s="31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>
      <c r="A825" s="30"/>
      <c r="B825" s="30"/>
      <c r="C825" s="30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>
      <c r="A826" s="31"/>
      <c r="B826" s="31"/>
      <c r="C826" s="31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>
      <c r="A827" s="30"/>
      <c r="B827" s="30"/>
      <c r="C827" s="30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>
      <c r="A828" s="31"/>
      <c r="B828" s="31"/>
      <c r="C828" s="31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>
      <c r="A829" s="30"/>
      <c r="B829" s="30"/>
      <c r="C829" s="30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>
      <c r="A830" s="31"/>
      <c r="B830" s="31"/>
      <c r="C830" s="31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>
      <c r="A831" s="30"/>
      <c r="B831" s="30"/>
      <c r="C831" s="30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>
      <c r="A832" s="31"/>
      <c r="B832" s="31"/>
      <c r="C832" s="31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>
      <c r="A833" s="30"/>
      <c r="B833" s="30"/>
      <c r="C833" s="30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>
      <c r="A834" s="31"/>
      <c r="B834" s="31"/>
      <c r="C834" s="31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>
      <c r="A835" s="30"/>
      <c r="B835" s="30"/>
      <c r="C835" s="30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>
      <c r="A836" s="31"/>
      <c r="B836" s="31"/>
      <c r="C836" s="31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>
      <c r="A837" s="30"/>
      <c r="B837" s="30"/>
      <c r="C837" s="30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>
      <c r="A838" s="31"/>
      <c r="B838" s="31"/>
      <c r="C838" s="31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>
      <c r="A839" s="30"/>
      <c r="B839" s="30"/>
      <c r="C839" s="30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>
      <c r="A840" s="31"/>
      <c r="B840" s="31"/>
      <c r="C840" s="31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>
      <c r="A841" s="30"/>
      <c r="B841" s="30"/>
      <c r="C841" s="30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>
      <c r="A842" s="31"/>
      <c r="B842" s="31"/>
      <c r="C842" s="31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>
      <c r="A843" s="30"/>
      <c r="B843" s="30"/>
      <c r="C843" s="30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>
      <c r="A844" s="31"/>
      <c r="B844" s="31"/>
      <c r="C844" s="31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>
      <c r="A845" s="30"/>
      <c r="B845" s="30"/>
      <c r="C845" s="30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>
      <c r="A846" s="31"/>
      <c r="B846" s="31"/>
      <c r="C846" s="31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>
      <c r="A847" s="30"/>
      <c r="B847" s="30"/>
      <c r="C847" s="30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>
      <c r="A848" s="31"/>
      <c r="B848" s="31"/>
      <c r="C848" s="31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>
      <c r="A849" s="30"/>
      <c r="B849" s="30"/>
      <c r="C849" s="30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>
      <c r="A850" s="31"/>
      <c r="B850" s="31"/>
      <c r="C850" s="31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>
      <c r="A851" s="30"/>
      <c r="B851" s="30"/>
      <c r="C851" s="30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>
      <c r="A852" s="31"/>
      <c r="B852" s="31"/>
      <c r="C852" s="31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>
      <c r="A853" s="30"/>
      <c r="B853" s="30"/>
      <c r="C853" s="30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>
      <c r="A854" s="31"/>
      <c r="B854" s="31"/>
      <c r="C854" s="31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>
      <c r="A855" s="30"/>
      <c r="B855" s="30"/>
      <c r="C855" s="30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>
      <c r="A856" s="31"/>
      <c r="B856" s="31"/>
      <c r="C856" s="31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>
      <c r="A857" s="30"/>
      <c r="B857" s="30"/>
      <c r="C857" s="30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>
      <c r="A858" s="31"/>
      <c r="B858" s="31"/>
      <c r="C858" s="31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>
      <c r="A859" s="30"/>
      <c r="B859" s="30"/>
      <c r="C859" s="30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>
      <c r="A860" s="31"/>
      <c r="B860" s="31"/>
      <c r="C860" s="31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>
      <c r="A861" s="30"/>
      <c r="B861" s="30"/>
      <c r="C861" s="30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>
      <c r="A862" s="31"/>
      <c r="B862" s="31"/>
      <c r="C862" s="31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>
      <c r="A863" s="30"/>
      <c r="B863" s="30"/>
      <c r="C863" s="30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>
      <c r="A864" s="31"/>
      <c r="B864" s="31"/>
      <c r="C864" s="31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>
      <c r="A865" s="30"/>
      <c r="B865" s="30"/>
      <c r="C865" s="30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>
      <c r="A866" s="31"/>
      <c r="B866" s="31"/>
      <c r="C866" s="31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>
      <c r="A867" s="30"/>
      <c r="B867" s="30"/>
      <c r="C867" s="30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>
      <c r="A868" s="31"/>
      <c r="B868" s="31"/>
      <c r="C868" s="31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>
      <c r="A869" s="30"/>
      <c r="B869" s="30"/>
      <c r="C869" s="30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>
      <c r="A870" s="31"/>
      <c r="B870" s="31"/>
      <c r="C870" s="31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>
      <c r="A871" s="30"/>
      <c r="B871" s="30"/>
      <c r="C871" s="30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>
      <c r="A872" s="31"/>
      <c r="B872" s="31"/>
      <c r="C872" s="31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>
      <c r="A873" s="30"/>
      <c r="B873" s="30"/>
      <c r="C873" s="30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>
      <c r="A874" s="31"/>
      <c r="B874" s="31"/>
      <c r="C874" s="31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>
      <c r="A875" s="30"/>
      <c r="B875" s="30"/>
      <c r="C875" s="30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>
      <c r="A876" s="31"/>
      <c r="B876" s="31"/>
      <c r="C876" s="31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>
      <c r="A877" s="30"/>
      <c r="B877" s="30"/>
      <c r="C877" s="30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>
      <c r="A878" s="31"/>
      <c r="B878" s="31"/>
      <c r="C878" s="31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>
      <c r="A879" s="30"/>
      <c r="B879" s="30"/>
      <c r="C879" s="30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>
      <c r="A880" s="31"/>
      <c r="B880" s="31"/>
      <c r="C880" s="31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>
      <c r="A881" s="30"/>
      <c r="B881" s="30"/>
      <c r="C881" s="30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>
      <c r="A882" s="31"/>
      <c r="B882" s="31"/>
      <c r="C882" s="31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>
      <c r="A883" s="30"/>
      <c r="B883" s="30"/>
      <c r="C883" s="30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>
      <c r="A884" s="31"/>
      <c r="B884" s="31"/>
      <c r="C884" s="31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>
      <c r="A885" s="30"/>
      <c r="B885" s="30"/>
      <c r="C885" s="30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>
      <c r="A886" s="31"/>
      <c r="B886" s="31"/>
      <c r="C886" s="31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>
      <c r="A887" s="30"/>
      <c r="B887" s="30"/>
      <c r="C887" s="30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>
      <c r="A888" s="31"/>
      <c r="B888" s="31"/>
      <c r="C888" s="31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>
      <c r="A889" s="30"/>
      <c r="B889" s="30"/>
      <c r="C889" s="30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>
      <c r="A890" s="31"/>
      <c r="B890" s="31"/>
      <c r="C890" s="31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>
      <c r="A891" s="30"/>
      <c r="B891" s="30"/>
      <c r="C891" s="30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>
      <c r="A892" s="31"/>
      <c r="B892" s="31"/>
      <c r="C892" s="31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>
      <c r="A893" s="30"/>
      <c r="B893" s="30"/>
      <c r="C893" s="30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>
      <c r="A894" s="31"/>
      <c r="B894" s="31"/>
      <c r="C894" s="31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>
      <c r="A895" s="30"/>
      <c r="B895" s="30"/>
      <c r="C895" s="30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>
      <c r="A896" s="31"/>
      <c r="B896" s="31"/>
      <c r="C896" s="31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>
      <c r="A897" s="30"/>
      <c r="B897" s="30"/>
      <c r="C897" s="30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>
      <c r="A898" s="31"/>
      <c r="B898" s="31"/>
      <c r="C898" s="31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>
      <c r="A899" s="30"/>
      <c r="B899" s="30"/>
      <c r="C899" s="30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>
      <c r="A900" s="31"/>
      <c r="B900" s="31"/>
      <c r="C900" s="31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>
      <c r="A901" s="30"/>
      <c r="B901" s="30"/>
      <c r="C901" s="30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>
      <c r="A902" s="31"/>
      <c r="B902" s="31"/>
      <c r="C902" s="31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>
      <c r="A903" s="30"/>
      <c r="B903" s="30"/>
      <c r="C903" s="30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>
      <c r="A904" s="31"/>
      <c r="B904" s="31"/>
      <c r="C904" s="31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>
      <c r="A905" s="30"/>
      <c r="B905" s="30"/>
      <c r="C905" s="30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>
      <c r="A906" s="31"/>
      <c r="B906" s="31"/>
      <c r="C906" s="31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>
      <c r="A907" s="30"/>
      <c r="B907" s="30"/>
      <c r="C907" s="30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>
      <c r="A908" s="31"/>
      <c r="B908" s="31"/>
      <c r="C908" s="31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>
      <c r="A909" s="30"/>
      <c r="B909" s="30"/>
      <c r="C909" s="30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>
      <c r="A910" s="31"/>
      <c r="B910" s="31"/>
      <c r="C910" s="31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>
      <c r="A911" s="30"/>
      <c r="B911" s="30"/>
      <c r="C911" s="30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>
      <c r="A912" s="31"/>
      <c r="B912" s="31"/>
      <c r="C912" s="31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>
      <c r="A913" s="30"/>
      <c r="B913" s="30"/>
      <c r="C913" s="30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>
      <c r="A914" s="31"/>
      <c r="B914" s="31"/>
      <c r="C914" s="31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>
      <c r="A915" s="30"/>
      <c r="B915" s="30"/>
      <c r="C915" s="30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>
      <c r="A916" s="31"/>
      <c r="B916" s="31"/>
      <c r="C916" s="31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>
      <c r="A917" s="30"/>
      <c r="B917" s="30"/>
      <c r="C917" s="30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>
      <c r="A918" s="31"/>
      <c r="B918" s="31"/>
      <c r="C918" s="31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>
      <c r="A919" s="30"/>
      <c r="B919" s="30"/>
      <c r="C919" s="30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>
      <c r="A920" s="31"/>
      <c r="B920" s="31"/>
      <c r="C920" s="31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>
      <c r="A921" s="30"/>
      <c r="B921" s="30"/>
      <c r="C921" s="30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>
      <c r="A922" s="31"/>
      <c r="B922" s="31"/>
      <c r="C922" s="31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>
      <c r="A923" s="30"/>
      <c r="B923" s="30"/>
      <c r="C923" s="30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>
      <c r="A924" s="31"/>
      <c r="B924" s="31"/>
      <c r="C924" s="31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>
      <c r="A925" s="30"/>
      <c r="B925" s="30"/>
      <c r="C925" s="30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>
      <c r="A926" s="31"/>
      <c r="B926" s="31"/>
      <c r="C926" s="31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>
      <c r="A927" s="30"/>
      <c r="B927" s="30"/>
      <c r="C927" s="30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>
      <c r="A928" s="31"/>
      <c r="B928" s="31"/>
      <c r="C928" s="31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>
      <c r="A929" s="30"/>
      <c r="B929" s="30"/>
      <c r="C929" s="30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>
      <c r="A930" s="31"/>
      <c r="B930" s="31"/>
      <c r="C930" s="31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>
      <c r="A931" s="30"/>
      <c r="B931" s="30"/>
      <c r="C931" s="30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>
      <c r="A932" s="31"/>
      <c r="B932" s="31"/>
      <c r="C932" s="31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>
      <c r="A933" s="30"/>
      <c r="B933" s="30"/>
      <c r="C933" s="30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>
      <c r="A934" s="31"/>
      <c r="B934" s="31"/>
      <c r="C934" s="31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>
      <c r="A935" s="30"/>
      <c r="B935" s="30"/>
      <c r="C935" s="30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>
      <c r="A936" s="31"/>
      <c r="B936" s="31"/>
      <c r="C936" s="31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>
      <c r="A937" s="30"/>
      <c r="B937" s="30"/>
      <c r="C937" s="30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>
      <c r="A938" s="31"/>
      <c r="B938" s="31"/>
      <c r="C938" s="31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>
      <c r="A939" s="30"/>
      <c r="B939" s="30"/>
      <c r="C939" s="30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>
      <c r="A940" s="31"/>
      <c r="B940" s="31"/>
      <c r="C940" s="31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>
      <c r="A941" s="30"/>
      <c r="B941" s="30"/>
      <c r="C941" s="30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>
      <c r="A942" s="31"/>
      <c r="B942" s="31"/>
      <c r="C942" s="31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>
      <c r="A943" s="30"/>
      <c r="B943" s="30"/>
      <c r="C943" s="30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>
      <c r="A944" s="31"/>
      <c r="B944" s="31"/>
      <c r="C944" s="31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>
      <c r="A945" s="30"/>
      <c r="B945" s="30"/>
      <c r="C945" s="30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>
      <c r="A946" s="31"/>
      <c r="B946" s="31"/>
      <c r="C946" s="31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>
      <c r="A947" s="30"/>
      <c r="B947" s="30"/>
      <c r="C947" s="30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>
      <c r="A948" s="31"/>
      <c r="B948" s="31"/>
      <c r="C948" s="31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>
      <c r="A949" s="30"/>
      <c r="B949" s="30"/>
      <c r="C949" s="30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>
      <c r="A950" s="31"/>
      <c r="B950" s="31"/>
      <c r="C950" s="31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>
      <c r="A951" s="30"/>
      <c r="B951" s="30"/>
      <c r="C951" s="30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>
      <c r="A952" s="31"/>
      <c r="B952" s="31"/>
      <c r="C952" s="31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>
      <c r="A953" s="30"/>
      <c r="B953" s="30"/>
      <c r="C953" s="30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>
      <c r="A954" s="31"/>
      <c r="B954" s="31"/>
      <c r="C954" s="31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>
      <c r="A955" s="30"/>
      <c r="B955" s="30"/>
      <c r="C955" s="30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>
      <c r="A956" s="31"/>
      <c r="B956" s="31"/>
      <c r="C956" s="31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>
      <c r="A957" s="30"/>
      <c r="B957" s="30"/>
      <c r="C957" s="30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>
      <c r="A958" s="31"/>
      <c r="B958" s="31"/>
      <c r="C958" s="31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>
      <c r="A959" s="30"/>
      <c r="B959" s="30"/>
      <c r="C959" s="30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>
      <c r="A960" s="31"/>
      <c r="B960" s="31"/>
      <c r="C960" s="31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>
      <c r="A961" s="30"/>
      <c r="B961" s="30"/>
      <c r="C961" s="30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>
      <c r="A962" s="31"/>
      <c r="B962" s="31"/>
      <c r="C962" s="31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>
      <c r="A963" s="30"/>
      <c r="B963" s="30"/>
      <c r="C963" s="30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>
      <c r="A964" s="31"/>
      <c r="B964" s="31"/>
      <c r="C964" s="31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>
      <c r="A965" s="30"/>
      <c r="B965" s="30"/>
      <c r="C965" s="30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>
      <c r="A966" s="31"/>
      <c r="B966" s="31"/>
      <c r="C966" s="31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>
      <c r="A967" s="30"/>
      <c r="B967" s="30"/>
      <c r="C967" s="30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>
      <c r="A968" s="31"/>
      <c r="B968" s="31"/>
      <c r="C968" s="31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>
      <c r="A969" s="30"/>
      <c r="B969" s="30"/>
      <c r="C969" s="30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>
      <c r="A970" s="31"/>
      <c r="B970" s="31"/>
      <c r="C970" s="31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>
      <c r="A971" s="30"/>
      <c r="B971" s="30"/>
      <c r="C971" s="30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>
      <c r="A972" s="31"/>
      <c r="B972" s="31"/>
      <c r="C972" s="31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>
      <c r="A973" s="30"/>
      <c r="B973" s="30"/>
      <c r="C973" s="30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>
      <c r="A974" s="31"/>
      <c r="B974" s="31"/>
      <c r="C974" s="31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>
      <c r="A975" s="30"/>
      <c r="B975" s="30"/>
      <c r="C975" s="30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>
      <c r="A976" s="31"/>
      <c r="B976" s="31"/>
      <c r="C976" s="31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>
      <c r="A977" s="30"/>
      <c r="B977" s="30"/>
      <c r="C977" s="30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>
      <c r="A978" s="31"/>
      <c r="B978" s="31"/>
      <c r="C978" s="31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>
      <c r="A979" s="30"/>
      <c r="B979" s="30"/>
      <c r="C979" s="30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>
      <c r="A980" s="31"/>
      <c r="B980" s="31"/>
      <c r="C980" s="31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>
      <c r="A981" s="30"/>
      <c r="B981" s="30"/>
      <c r="C981" s="30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>
      <c r="A982" s="31"/>
      <c r="B982" s="31"/>
      <c r="C982" s="31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>
      <c r="A983" s="30"/>
      <c r="B983" s="30"/>
      <c r="C983" s="30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>
      <c r="A984" s="31"/>
      <c r="B984" s="31"/>
      <c r="C984" s="31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>
      <c r="A985" s="30"/>
      <c r="B985" s="30"/>
      <c r="C985" s="30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>
      <c r="A986" s="31"/>
      <c r="B986" s="31"/>
      <c r="C986" s="31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>
      <c r="A987" s="30"/>
      <c r="B987" s="30"/>
      <c r="C987" s="30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>
      <c r="A988" s="31"/>
      <c r="B988" s="31"/>
      <c r="C988" s="31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>
      <c r="A989" s="30"/>
      <c r="B989" s="30"/>
      <c r="C989" s="30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>
      <c r="A990" s="31"/>
      <c r="B990" s="31"/>
      <c r="C990" s="31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>
      <c r="A991" s="30"/>
      <c r="B991" s="30"/>
      <c r="C991" s="30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>
      <c r="A992" s="31"/>
      <c r="B992" s="31"/>
      <c r="C992" s="31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>
      <c r="A993" s="30"/>
      <c r="B993" s="30"/>
      <c r="C993" s="30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</sheetData>
  <autoFilter ref="$A$1:$AB$16">
    <sortState ref="A1:AB16">
      <sortCondition descending="1" ref="E1:E16"/>
    </sortState>
  </autoFilter>
  <hyperlinks>
    <hyperlink r:id="rId1" ref="D2"/>
    <hyperlink r:id="rId2" ref="D3"/>
    <hyperlink r:id="rId3" ref="D4"/>
    <hyperlink r:id="rId4" ref="D5"/>
    <hyperlink r:id="rId5" ref="D7"/>
    <hyperlink r:id="rId6" ref="D8"/>
    <hyperlink r:id="rId7" ref="D9"/>
    <hyperlink r:id="rId8" ref="D11"/>
    <hyperlink r:id="rId9" ref="D12"/>
    <hyperlink r:id="rId10" ref="D13"/>
    <hyperlink r:id="rId11" ref="D14"/>
    <hyperlink r:id="rId12" ref="D15"/>
    <hyperlink r:id="rId13" ref="D1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88"/>
    <col customWidth="1" min="2" max="2" width="31.75"/>
    <col customWidth="1" min="3" max="3" width="18.75"/>
    <col customWidth="1" min="4" max="4" width="57.75"/>
    <col customWidth="1" min="6" max="6" width="27.0"/>
  </cols>
  <sheetData>
    <row r="1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32" t="s">
        <v>11</v>
      </c>
    </row>
    <row r="2">
      <c r="A2" s="33" t="s">
        <v>57</v>
      </c>
      <c r="B2" s="33" t="s">
        <v>58</v>
      </c>
      <c r="C2" s="33" t="s">
        <v>59</v>
      </c>
      <c r="D2" s="34" t="s">
        <v>60</v>
      </c>
      <c r="E2" s="35">
        <v>43767.0</v>
      </c>
      <c r="F2" s="36"/>
    </row>
    <row r="3">
      <c r="A3" s="37" t="s">
        <v>61</v>
      </c>
      <c r="B3" s="37" t="s">
        <v>62</v>
      </c>
      <c r="C3" s="37" t="s">
        <v>26</v>
      </c>
      <c r="D3" s="38" t="s">
        <v>63</v>
      </c>
      <c r="E3" s="39">
        <v>43457.0</v>
      </c>
      <c r="F3" s="37" t="s">
        <v>41</v>
      </c>
    </row>
    <row r="4">
      <c r="A4" s="33" t="s">
        <v>64</v>
      </c>
      <c r="B4" s="33" t="s">
        <v>62</v>
      </c>
      <c r="C4" s="33" t="s">
        <v>65</v>
      </c>
      <c r="D4" s="34" t="s">
        <v>66</v>
      </c>
      <c r="E4" s="35">
        <v>43457.0</v>
      </c>
      <c r="F4" s="36"/>
    </row>
    <row r="5">
      <c r="A5" s="37" t="s">
        <v>67</v>
      </c>
      <c r="B5" s="37" t="s">
        <v>68</v>
      </c>
      <c r="C5" s="37" t="s">
        <v>26</v>
      </c>
      <c r="D5" s="38" t="s">
        <v>69</v>
      </c>
      <c r="E5" s="39">
        <v>43457.0</v>
      </c>
      <c r="F5" s="37" t="s">
        <v>41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33" t="s">
        <v>70</v>
      </c>
      <c r="B6" s="33" t="s">
        <v>21</v>
      </c>
      <c r="C6" s="33" t="s">
        <v>30</v>
      </c>
      <c r="D6" s="34" t="s">
        <v>71</v>
      </c>
      <c r="E6" s="35">
        <v>43425.0</v>
      </c>
      <c r="F6" s="41"/>
    </row>
    <row r="7">
      <c r="A7" s="37" t="s">
        <v>72</v>
      </c>
      <c r="B7" s="37" t="s">
        <v>73</v>
      </c>
      <c r="C7" s="37" t="s">
        <v>30</v>
      </c>
      <c r="D7" s="38" t="s">
        <v>74</v>
      </c>
      <c r="E7" s="39">
        <v>43423.0</v>
      </c>
      <c r="F7" s="37" t="s">
        <v>41</v>
      </c>
    </row>
    <row r="8">
      <c r="A8" s="33" t="s">
        <v>75</v>
      </c>
      <c r="B8" s="33" t="s">
        <v>76</v>
      </c>
      <c r="D8" s="34" t="s">
        <v>77</v>
      </c>
      <c r="E8" s="35">
        <v>43404.0</v>
      </c>
      <c r="F8" s="41"/>
    </row>
    <row r="9">
      <c r="A9" s="42" t="s">
        <v>24</v>
      </c>
      <c r="B9" s="42" t="s">
        <v>78</v>
      </c>
      <c r="C9" s="42" t="s">
        <v>79</v>
      </c>
      <c r="D9" s="43" t="s">
        <v>80</v>
      </c>
      <c r="E9" s="44">
        <v>43404.0</v>
      </c>
      <c r="F9" s="45"/>
    </row>
    <row r="10">
      <c r="A10" s="33" t="s">
        <v>81</v>
      </c>
      <c r="B10" s="33" t="s">
        <v>21</v>
      </c>
      <c r="C10" s="33" t="s">
        <v>82</v>
      </c>
      <c r="D10" s="34" t="s">
        <v>83</v>
      </c>
      <c r="E10" s="35">
        <v>43389.0</v>
      </c>
      <c r="F10" s="41"/>
    </row>
    <row r="11">
      <c r="A11" s="37" t="s">
        <v>84</v>
      </c>
      <c r="B11" s="37" t="s">
        <v>21</v>
      </c>
      <c r="C11" s="37" t="s">
        <v>85</v>
      </c>
      <c r="D11" s="38" t="s">
        <v>86</v>
      </c>
      <c r="E11" s="39">
        <v>43381.0</v>
      </c>
      <c r="F11" s="37" t="s">
        <v>87</v>
      </c>
    </row>
    <row r="12">
      <c r="A12" s="33" t="s">
        <v>88</v>
      </c>
      <c r="B12" s="33" t="s">
        <v>21</v>
      </c>
      <c r="C12" s="33" t="s">
        <v>89</v>
      </c>
      <c r="D12" s="34" t="s">
        <v>90</v>
      </c>
      <c r="E12" s="35">
        <v>43357.0</v>
      </c>
      <c r="F12" s="41"/>
    </row>
    <row r="13">
      <c r="A13" s="42" t="s">
        <v>91</v>
      </c>
      <c r="B13" s="42" t="s">
        <v>21</v>
      </c>
      <c r="C13" s="42" t="s">
        <v>92</v>
      </c>
      <c r="D13" s="43" t="s">
        <v>93</v>
      </c>
      <c r="E13" s="44">
        <v>43357.0</v>
      </c>
      <c r="F13" s="45"/>
    </row>
    <row r="14">
      <c r="A14" s="33" t="s">
        <v>94</v>
      </c>
      <c r="B14" s="33" t="s">
        <v>95</v>
      </c>
      <c r="C14" s="33" t="s">
        <v>96</v>
      </c>
      <c r="D14" s="34" t="s">
        <v>97</v>
      </c>
      <c r="E14" s="35">
        <v>43357.0</v>
      </c>
      <c r="F14" s="41"/>
    </row>
    <row r="15">
      <c r="A15" s="37" t="s">
        <v>98</v>
      </c>
      <c r="B15" s="37" t="s">
        <v>58</v>
      </c>
      <c r="C15" s="37" t="s">
        <v>49</v>
      </c>
      <c r="D15" s="38" t="s">
        <v>99</v>
      </c>
      <c r="E15" s="39">
        <v>43357.0</v>
      </c>
      <c r="F15" s="37" t="s">
        <v>100</v>
      </c>
    </row>
    <row r="16">
      <c r="A16" s="33" t="s">
        <v>34</v>
      </c>
      <c r="B16" s="33" t="s">
        <v>21</v>
      </c>
      <c r="C16" s="33" t="s">
        <v>92</v>
      </c>
      <c r="D16" s="34" t="s">
        <v>101</v>
      </c>
      <c r="E16" s="35">
        <v>43357.0</v>
      </c>
      <c r="F16" s="41"/>
    </row>
    <row r="17">
      <c r="A17" s="42" t="s">
        <v>34</v>
      </c>
      <c r="B17" s="42" t="s">
        <v>35</v>
      </c>
      <c r="C17" s="42" t="s">
        <v>36</v>
      </c>
      <c r="D17" s="43" t="s">
        <v>102</v>
      </c>
      <c r="E17" s="44">
        <v>43357.0</v>
      </c>
      <c r="F17" s="45"/>
    </row>
    <row r="18">
      <c r="A18" s="37" t="s">
        <v>103</v>
      </c>
      <c r="B18" s="37" t="s">
        <v>104</v>
      </c>
      <c r="C18" s="37" t="s">
        <v>49</v>
      </c>
      <c r="D18" s="38" t="s">
        <v>105</v>
      </c>
      <c r="E18" s="39">
        <v>43357.0</v>
      </c>
      <c r="F18" s="37" t="s">
        <v>100</v>
      </c>
    </row>
    <row r="19">
      <c r="A19" s="37" t="s">
        <v>106</v>
      </c>
      <c r="B19" s="37" t="s">
        <v>58</v>
      </c>
      <c r="C19" s="37" t="s">
        <v>26</v>
      </c>
      <c r="D19" s="38" t="s">
        <v>107</v>
      </c>
      <c r="E19" s="39">
        <v>43357.0</v>
      </c>
      <c r="F19" s="37" t="s">
        <v>108</v>
      </c>
    </row>
    <row r="20">
      <c r="A20" s="37" t="s">
        <v>109</v>
      </c>
      <c r="B20" s="37" t="s">
        <v>110</v>
      </c>
      <c r="C20" s="37" t="s">
        <v>111</v>
      </c>
      <c r="D20" s="38" t="s">
        <v>112</v>
      </c>
      <c r="E20" s="39">
        <v>43357.0</v>
      </c>
      <c r="F20" s="37" t="s">
        <v>100</v>
      </c>
    </row>
    <row r="21">
      <c r="A21" s="37" t="s">
        <v>113</v>
      </c>
      <c r="B21" s="37" t="s">
        <v>104</v>
      </c>
      <c r="C21" s="37" t="s">
        <v>114</v>
      </c>
      <c r="D21" s="38" t="s">
        <v>115</v>
      </c>
      <c r="E21" s="39">
        <v>43357.0</v>
      </c>
      <c r="F21" s="37" t="s">
        <v>100</v>
      </c>
    </row>
    <row r="22">
      <c r="A22" s="37" t="s">
        <v>116</v>
      </c>
      <c r="B22" s="37" t="s">
        <v>117</v>
      </c>
      <c r="C22" s="37" t="s">
        <v>26</v>
      </c>
      <c r="D22" s="38" t="s">
        <v>118</v>
      </c>
      <c r="E22" s="39">
        <v>43357.0</v>
      </c>
      <c r="F22" s="37" t="s">
        <v>41</v>
      </c>
    </row>
  </sheetData>
  <autoFilter ref="$A$1:$AA$22">
    <sortState ref="A1:AA22">
      <sortCondition descending="1" ref="E1:E22"/>
      <sortCondition ref="A1:A22"/>
    </sortState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13"/>
    <col customWidth="1" min="2" max="2" width="42.25"/>
    <col customWidth="1" min="3" max="3" width="20.13"/>
    <col customWidth="1" min="4" max="4" width="85.63"/>
  </cols>
  <sheetData>
    <row r="1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32" t="s">
        <v>11</v>
      </c>
      <c r="G1" s="32" t="s">
        <v>119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33" t="s">
        <v>120</v>
      </c>
      <c r="B2" s="33" t="s">
        <v>121</v>
      </c>
      <c r="C2" s="33" t="s">
        <v>59</v>
      </c>
      <c r="D2" s="34" t="s">
        <v>60</v>
      </c>
      <c r="E2" s="35">
        <v>43767.0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2" t="s">
        <v>122</v>
      </c>
      <c r="B3" s="42" t="s">
        <v>123</v>
      </c>
      <c r="C3" s="42" t="s">
        <v>26</v>
      </c>
      <c r="D3" s="43" t="s">
        <v>124</v>
      </c>
      <c r="E3" s="44">
        <v>43457.0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idden="1">
      <c r="A4" s="33" t="s">
        <v>34</v>
      </c>
      <c r="B4" s="33" t="s">
        <v>35</v>
      </c>
      <c r="C4" s="33" t="s">
        <v>36</v>
      </c>
      <c r="D4" s="34" t="s">
        <v>125</v>
      </c>
      <c r="E4" s="35">
        <v>43425.0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2" t="s">
        <v>126</v>
      </c>
      <c r="B5" s="42" t="s">
        <v>127</v>
      </c>
      <c r="C5" s="42" t="s">
        <v>128</v>
      </c>
      <c r="D5" s="43" t="s">
        <v>129</v>
      </c>
      <c r="E5" s="44">
        <v>43425.0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idden="1">
      <c r="A6" s="33" t="s">
        <v>130</v>
      </c>
      <c r="B6" s="33" t="s">
        <v>131</v>
      </c>
      <c r="C6" s="33" t="s">
        <v>26</v>
      </c>
      <c r="D6" s="34" t="s">
        <v>132</v>
      </c>
      <c r="E6" s="35">
        <v>43425.0</v>
      </c>
      <c r="F6" s="33" t="s">
        <v>133</v>
      </c>
      <c r="G6" s="33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2" t="s">
        <v>134</v>
      </c>
      <c r="B7" s="42" t="s">
        <v>135</v>
      </c>
      <c r="C7" s="42" t="s">
        <v>30</v>
      </c>
      <c r="D7" s="43" t="s">
        <v>136</v>
      </c>
      <c r="E7" s="44">
        <v>43395.0</v>
      </c>
      <c r="F7" s="42" t="s">
        <v>137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33" t="s">
        <v>138</v>
      </c>
      <c r="B8" s="33" t="s">
        <v>121</v>
      </c>
      <c r="C8" s="33" t="s">
        <v>139</v>
      </c>
      <c r="D8" s="34" t="s">
        <v>140</v>
      </c>
      <c r="E8" s="35">
        <v>43388.0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2" t="s">
        <v>141</v>
      </c>
      <c r="B9" s="42" t="s">
        <v>121</v>
      </c>
      <c r="C9" s="42" t="s">
        <v>142</v>
      </c>
      <c r="D9" s="42" t="s">
        <v>143</v>
      </c>
      <c r="E9" s="44">
        <v>43382.0</v>
      </c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idden="1">
      <c r="A10" s="33" t="s">
        <v>144</v>
      </c>
      <c r="B10" s="33" t="s">
        <v>145</v>
      </c>
      <c r="C10" s="33" t="s">
        <v>26</v>
      </c>
      <c r="D10" s="33" t="s">
        <v>146</v>
      </c>
      <c r="E10" s="35">
        <v>43382.0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2" t="s">
        <v>147</v>
      </c>
      <c r="B11" s="42" t="s">
        <v>121</v>
      </c>
      <c r="C11" s="42" t="s">
        <v>92</v>
      </c>
      <c r="D11" s="45"/>
      <c r="E11" s="44">
        <v>43381.0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34" t="s">
        <v>148</v>
      </c>
      <c r="B12" s="33" t="s">
        <v>121</v>
      </c>
      <c r="C12" s="33" t="s">
        <v>149</v>
      </c>
      <c r="D12" s="33" t="s">
        <v>150</v>
      </c>
      <c r="E12" s="35">
        <v>43381.0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2" t="s">
        <v>151</v>
      </c>
      <c r="B13" s="42" t="s">
        <v>121</v>
      </c>
      <c r="C13" s="42" t="s">
        <v>92</v>
      </c>
      <c r="D13" s="42" t="s">
        <v>150</v>
      </c>
      <c r="E13" s="44">
        <v>43381.0</v>
      </c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33" t="s">
        <v>152</v>
      </c>
      <c r="B14" s="33" t="s">
        <v>121</v>
      </c>
      <c r="C14" s="33" t="s">
        <v>30</v>
      </c>
      <c r="D14" s="34" t="s">
        <v>153</v>
      </c>
      <c r="E14" s="35">
        <v>43381.0</v>
      </c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2" t="s">
        <v>154</v>
      </c>
      <c r="B15" s="42" t="s">
        <v>121</v>
      </c>
      <c r="C15" s="42" t="s">
        <v>26</v>
      </c>
      <c r="D15" s="42" t="s">
        <v>150</v>
      </c>
      <c r="E15" s="44">
        <v>43381.0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33" t="s">
        <v>122</v>
      </c>
      <c r="B16" s="33" t="s">
        <v>121</v>
      </c>
      <c r="C16" s="33" t="s">
        <v>26</v>
      </c>
      <c r="D16" s="34" t="s">
        <v>155</v>
      </c>
      <c r="E16" s="35">
        <v>43380.0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2" t="s">
        <v>156</v>
      </c>
      <c r="B17" s="42" t="s">
        <v>121</v>
      </c>
      <c r="C17" s="42" t="s">
        <v>142</v>
      </c>
      <c r="D17" s="47" t="str">
        <f>HYPERLINK("https://www.atlassian.com/company/careers/detail/8f6a2622-1edb-45d9-b9eb-d7b89786aaed","2019 University Associate Product Manager")</f>
        <v>2019 University Associate Product Manager</v>
      </c>
      <c r="E17" s="44">
        <v>43380.0</v>
      </c>
      <c r="F17" s="42" t="s">
        <v>157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33" t="s">
        <v>158</v>
      </c>
      <c r="B18" s="33" t="s">
        <v>121</v>
      </c>
      <c r="C18" s="48" t="s">
        <v>159</v>
      </c>
      <c r="D18" s="48" t="s">
        <v>160</v>
      </c>
      <c r="E18" s="35">
        <v>43380.0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2" t="s">
        <v>161</v>
      </c>
      <c r="B19" s="42" t="s">
        <v>121</v>
      </c>
      <c r="C19" s="49" t="s">
        <v>162</v>
      </c>
      <c r="D19" s="49"/>
      <c r="E19" s="44">
        <v>43380.0</v>
      </c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33" t="s">
        <v>163</v>
      </c>
      <c r="B20" s="33" t="s">
        <v>121</v>
      </c>
      <c r="C20" s="48" t="s">
        <v>79</v>
      </c>
      <c r="D20" s="34" t="s">
        <v>164</v>
      </c>
      <c r="E20" s="35">
        <v>43380.0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2" t="s">
        <v>106</v>
      </c>
      <c r="B21" s="42" t="s">
        <v>121</v>
      </c>
      <c r="C21" s="42" t="s">
        <v>26</v>
      </c>
      <c r="D21" s="43" t="s">
        <v>165</v>
      </c>
      <c r="E21" s="44">
        <v>43380.0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33" t="s">
        <v>166</v>
      </c>
      <c r="B22" s="33" t="s">
        <v>121</v>
      </c>
      <c r="C22" s="48" t="s">
        <v>26</v>
      </c>
      <c r="D22" s="33" t="s">
        <v>150</v>
      </c>
      <c r="E22" s="35">
        <v>43380.0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2" t="s">
        <v>138</v>
      </c>
      <c r="B23" s="42" t="s">
        <v>121</v>
      </c>
      <c r="C23" s="49" t="s">
        <v>139</v>
      </c>
      <c r="D23" s="47" t="str">
        <f>HYPERLINK("https://workday.wd5.myworkdayjobs.com/en-US/Workday_University_Careers/job/USA-CA-Pleasanton/Technical-Associate-Product-Manager--Rotation-Program---New-University-Graduate_JR-29485?utm_source=Women+in+Product+Main+Mailing+List&amp;utm_campaign=8a68890422-EMA"&amp;"IL_CAMPAIGN_2018_09_02_09_33_COPY_01&amp;utm_medium=email&amp;utm_term=0_86b11f6534-8a68890422-107366653&amp;mc_cid=8a68890422&amp;mc_eid=a17c47b2e3","Technical Associate Product Manager (Rotation Program)")</f>
        <v>Technical Associate Product Manager (Rotation Program)</v>
      </c>
      <c r="E23" s="44">
        <v>43380.0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33" t="s">
        <v>98</v>
      </c>
      <c r="B24" s="33" t="s">
        <v>121</v>
      </c>
      <c r="C24" s="33" t="s">
        <v>142</v>
      </c>
      <c r="D24" s="34" t="s">
        <v>167</v>
      </c>
      <c r="E24" s="35">
        <v>43368.0</v>
      </c>
      <c r="F24" s="33" t="s">
        <v>157</v>
      </c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2" t="s">
        <v>168</v>
      </c>
      <c r="B25" s="42" t="s">
        <v>121</v>
      </c>
      <c r="C25" s="42" t="s">
        <v>26</v>
      </c>
      <c r="D25" s="42"/>
      <c r="E25" s="44">
        <v>43368.0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33" t="s">
        <v>103</v>
      </c>
      <c r="B26" s="33" t="s">
        <v>121</v>
      </c>
      <c r="C26" s="33" t="s">
        <v>49</v>
      </c>
      <c r="D26" s="34" t="s">
        <v>169</v>
      </c>
      <c r="E26" s="35">
        <v>43368.0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2" t="s">
        <v>170</v>
      </c>
      <c r="B27" s="42" t="s">
        <v>121</v>
      </c>
      <c r="C27" s="42" t="s">
        <v>79</v>
      </c>
      <c r="D27" s="42" t="s">
        <v>150</v>
      </c>
      <c r="E27" s="44">
        <v>43360.0</v>
      </c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idden="1">
      <c r="A28" s="33" t="s">
        <v>171</v>
      </c>
      <c r="B28" s="33" t="s">
        <v>131</v>
      </c>
      <c r="C28" s="33" t="s">
        <v>92</v>
      </c>
      <c r="D28" s="33" t="s">
        <v>172</v>
      </c>
      <c r="E28" s="35">
        <v>43357.0</v>
      </c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2" t="s">
        <v>173</v>
      </c>
      <c r="B29" s="42" t="s">
        <v>121</v>
      </c>
      <c r="C29" s="42" t="s">
        <v>142</v>
      </c>
      <c r="D29" s="43" t="s">
        <v>174</v>
      </c>
      <c r="E29" s="44">
        <v>43357.0</v>
      </c>
      <c r="F29" s="43" t="s">
        <v>175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33" t="s">
        <v>176</v>
      </c>
      <c r="B30" s="33" t="s">
        <v>121</v>
      </c>
      <c r="C30" s="33" t="s">
        <v>26</v>
      </c>
      <c r="D30" s="34" t="s">
        <v>177</v>
      </c>
      <c r="E30" s="35">
        <v>43357.0</v>
      </c>
      <c r="F30" s="33" t="s">
        <v>157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2" t="s">
        <v>51</v>
      </c>
      <c r="B31" s="42" t="s">
        <v>121</v>
      </c>
      <c r="C31" s="42" t="s">
        <v>178</v>
      </c>
      <c r="D31" s="43" t="s">
        <v>179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</sheetData>
  <autoFilter ref="$A$1:$F$31">
    <filterColumn colId="1">
      <filters>
        <filter val="APM, Ads"/>
        <filter val="Associate Game Product Manager"/>
        <filter val="Associate Product Manager - New Grads"/>
        <filter val="APM"/>
      </filters>
    </filterColumn>
    <sortState ref="A1:F31">
      <sortCondition descending="1" ref="E1:E31"/>
    </sortState>
  </autoFilter>
  <hyperlinks>
    <hyperlink r:id="rId4" ref="D2"/>
    <hyperlink r:id="rId5" ref="D3"/>
    <hyperlink r:id="rId6" ref="D4"/>
    <hyperlink r:id="rId7" ref="D5"/>
    <hyperlink r:id="rId8" ref="D6"/>
    <hyperlink r:id="rId9" ref="D7"/>
    <hyperlink r:id="rId10" ref="D8"/>
    <hyperlink r:id="rId11" ref="A12"/>
    <hyperlink r:id="rId12" ref="D14"/>
    <hyperlink r:id="rId13" ref="D16"/>
    <hyperlink r:id="rId14" ref="D20"/>
    <hyperlink r:id="rId15" ref="D21"/>
    <hyperlink r:id="rId16" ref="D24"/>
    <hyperlink r:id="rId17" ref="D26"/>
    <hyperlink r:id="rId18" ref="D29"/>
    <hyperlink r:id="rId19" ref="F29"/>
    <hyperlink r:id="rId20" ref="D30"/>
    <hyperlink r:id="rId21" ref="D31"/>
  </hyperlinks>
  <drawing r:id="rId22"/>
  <legacy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42.0"/>
    <col customWidth="1" min="3" max="3" width="20.13"/>
    <col customWidth="1" min="4" max="4" width="86.75"/>
    <col customWidth="1" min="6" max="6" width="19.63"/>
  </cols>
  <sheetData>
    <row r="1">
      <c r="A1" s="32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32" t="s">
        <v>180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33" t="s">
        <v>88</v>
      </c>
      <c r="B2" s="33" t="s">
        <v>181</v>
      </c>
      <c r="C2" s="33" t="s">
        <v>92</v>
      </c>
      <c r="D2" s="34" t="s">
        <v>182</v>
      </c>
      <c r="E2" s="35">
        <v>43367.0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>
      <c r="A3" s="42" t="s">
        <v>173</v>
      </c>
      <c r="B3" s="42" t="s">
        <v>183</v>
      </c>
      <c r="C3" s="42" t="s">
        <v>142</v>
      </c>
      <c r="D3" s="43" t="s">
        <v>184</v>
      </c>
      <c r="E3" s="44">
        <v>43367.0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>
      <c r="A4" s="33" t="s">
        <v>16</v>
      </c>
      <c r="B4" s="33" t="s">
        <v>185</v>
      </c>
      <c r="C4" s="33" t="s">
        <v>18</v>
      </c>
      <c r="D4" s="34" t="s">
        <v>186</v>
      </c>
      <c r="E4" s="35">
        <v>43367.0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>
      <c r="A5" s="42" t="s">
        <v>116</v>
      </c>
      <c r="B5" s="42" t="s">
        <v>187</v>
      </c>
      <c r="C5" s="42" t="s">
        <v>26</v>
      </c>
      <c r="D5" s="43" t="s">
        <v>188</v>
      </c>
      <c r="E5" s="44">
        <v>43367.0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>
      <c r="A6" s="33" t="s">
        <v>189</v>
      </c>
      <c r="B6" s="50" t="s">
        <v>190</v>
      </c>
      <c r="C6" s="33" t="s">
        <v>191</v>
      </c>
      <c r="D6" s="34" t="s">
        <v>192</v>
      </c>
      <c r="E6" s="35">
        <v>43380.0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>
      <c r="A7" s="42" t="s">
        <v>158</v>
      </c>
      <c r="B7" s="51" t="s">
        <v>193</v>
      </c>
      <c r="C7" s="42" t="s">
        <v>194</v>
      </c>
      <c r="D7" s="43" t="s">
        <v>195</v>
      </c>
      <c r="E7" s="44">
        <v>43380.0</v>
      </c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>
      <c r="A8" s="33" t="s">
        <v>196</v>
      </c>
      <c r="B8" s="33" t="s">
        <v>197</v>
      </c>
      <c r="C8" s="33" t="s">
        <v>198</v>
      </c>
      <c r="D8" s="34" t="s">
        <v>199</v>
      </c>
      <c r="E8" s="35">
        <v>43380.0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>
      <c r="A9" s="42" t="s">
        <v>34</v>
      </c>
      <c r="B9" s="42" t="s">
        <v>35</v>
      </c>
      <c r="C9" s="42" t="s">
        <v>36</v>
      </c>
      <c r="D9" s="43" t="s">
        <v>200</v>
      </c>
      <c r="E9" s="44">
        <v>43382.0</v>
      </c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>
      <c r="A10" s="33" t="s">
        <v>12</v>
      </c>
      <c r="B10" s="33" t="s">
        <v>187</v>
      </c>
      <c r="C10" s="33" t="s">
        <v>14</v>
      </c>
      <c r="D10" s="34" t="s">
        <v>201</v>
      </c>
      <c r="E10" s="35">
        <v>43415.0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</sheetData>
  <autoFilter ref="$A$1:$AB$10"/>
  <hyperlinks>
    <hyperlink r:id="rId1" ref="D2"/>
    <hyperlink r:id="rId2" location="!t=jo&amp;jid=/company/product-manager-mba-university-graduate-1600-amphitheatre-pkwy-mountain-view-ca-4224650433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3.25"/>
    <col customWidth="1" min="2" max="2" width="37.5"/>
    <col customWidth="1" min="3" max="3" width="27.63"/>
    <col customWidth="1" min="4" max="4" width="34.38"/>
  </cols>
  <sheetData>
    <row r="1">
      <c r="A1" s="52" t="s">
        <v>6</v>
      </c>
      <c r="B1" s="52" t="s">
        <v>7</v>
      </c>
      <c r="C1" s="52" t="s">
        <v>8</v>
      </c>
      <c r="D1" s="53" t="s">
        <v>9</v>
      </c>
      <c r="E1" s="54" t="s">
        <v>10</v>
      </c>
      <c r="F1" s="54" t="s">
        <v>11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</row>
    <row r="2">
      <c r="A2" s="33" t="s">
        <v>81</v>
      </c>
      <c r="B2" s="33" t="s">
        <v>202</v>
      </c>
      <c r="C2" s="33" t="s">
        <v>203</v>
      </c>
      <c r="D2" s="34" t="s">
        <v>204</v>
      </c>
      <c r="E2" s="56">
        <v>43818.0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hidden="1">
      <c r="A3" s="42" t="s">
        <v>205</v>
      </c>
      <c r="B3" s="42" t="s">
        <v>206</v>
      </c>
      <c r="C3" s="42" t="s">
        <v>207</v>
      </c>
      <c r="D3" s="43" t="s">
        <v>208</v>
      </c>
      <c r="E3" s="57">
        <v>43790.0</v>
      </c>
      <c r="F3" s="42" t="s">
        <v>41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>
      <c r="A4" s="33" t="s">
        <v>134</v>
      </c>
      <c r="B4" s="33" t="s">
        <v>209</v>
      </c>
      <c r="C4" s="33" t="s">
        <v>30</v>
      </c>
      <c r="D4" s="34" t="s">
        <v>210</v>
      </c>
      <c r="E4" s="56">
        <v>43740.0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</row>
    <row r="5">
      <c r="A5" s="42" t="s">
        <v>211</v>
      </c>
      <c r="B5" s="42" t="s">
        <v>212</v>
      </c>
      <c r="C5" s="42" t="s">
        <v>213</v>
      </c>
      <c r="D5" s="43" t="s">
        <v>214</v>
      </c>
      <c r="E5" s="57">
        <v>43679.0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>
      <c r="A6" s="33" t="s">
        <v>215</v>
      </c>
      <c r="B6" s="33" t="s">
        <v>216</v>
      </c>
      <c r="C6" s="33" t="s">
        <v>217</v>
      </c>
      <c r="D6" s="34" t="s">
        <v>218</v>
      </c>
      <c r="E6" s="56">
        <v>43654.0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</row>
    <row r="7">
      <c r="A7" s="43" t="s">
        <v>219</v>
      </c>
      <c r="B7" s="42" t="s">
        <v>220</v>
      </c>
      <c r="C7" s="42" t="s">
        <v>30</v>
      </c>
      <c r="D7" s="43" t="s">
        <v>221</v>
      </c>
      <c r="E7" s="57">
        <v>43634.0</v>
      </c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>
      <c r="A8" s="33" t="s">
        <v>222</v>
      </c>
      <c r="B8" s="33" t="s">
        <v>223</v>
      </c>
      <c r="C8" s="33" t="s">
        <v>224</v>
      </c>
      <c r="D8" s="34" t="s">
        <v>225</v>
      </c>
      <c r="E8" s="56">
        <v>43616.0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</row>
    <row r="9">
      <c r="A9" s="42" t="s">
        <v>226</v>
      </c>
      <c r="B9" s="42" t="s">
        <v>227</v>
      </c>
      <c r="C9" s="42" t="s">
        <v>228</v>
      </c>
      <c r="D9" s="43" t="s">
        <v>229</v>
      </c>
      <c r="E9" s="57">
        <v>43605.0</v>
      </c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>
      <c r="A10" s="33" t="s">
        <v>226</v>
      </c>
      <c r="B10" s="33" t="s">
        <v>209</v>
      </c>
      <c r="C10" s="33" t="s">
        <v>228</v>
      </c>
      <c r="D10" s="58" t="s">
        <v>230</v>
      </c>
      <c r="E10" s="56">
        <v>43605.0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</row>
    <row r="11">
      <c r="A11" s="42" t="s">
        <v>226</v>
      </c>
      <c r="B11" s="42" t="s">
        <v>181</v>
      </c>
      <c r="C11" s="42" t="s">
        <v>228</v>
      </c>
      <c r="D11" s="43" t="s">
        <v>231</v>
      </c>
      <c r="E11" s="57">
        <v>43605.0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>
      <c r="A12" s="33" t="s">
        <v>232</v>
      </c>
      <c r="B12" s="33" t="s">
        <v>181</v>
      </c>
      <c r="C12" s="33" t="s">
        <v>233</v>
      </c>
      <c r="D12" s="34" t="s">
        <v>234</v>
      </c>
      <c r="E12" s="56">
        <v>43600.0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</row>
    <row r="13">
      <c r="A13" s="42" t="s">
        <v>235</v>
      </c>
      <c r="B13" s="42" t="s">
        <v>236</v>
      </c>
      <c r="C13" s="42" t="s">
        <v>237</v>
      </c>
      <c r="D13" s="43" t="s">
        <v>238</v>
      </c>
      <c r="E13" s="57">
        <v>43563.0</v>
      </c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>
      <c r="A14" s="33" t="s">
        <v>239</v>
      </c>
      <c r="B14" s="33" t="s">
        <v>240</v>
      </c>
      <c r="C14" s="33" t="s">
        <v>241</v>
      </c>
      <c r="D14" s="34" t="s">
        <v>242</v>
      </c>
      <c r="E14" s="56">
        <v>43563.0</v>
      </c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</row>
    <row r="15">
      <c r="A15" s="42" t="s">
        <v>243</v>
      </c>
      <c r="B15" s="42" t="s">
        <v>244</v>
      </c>
      <c r="C15" s="42" t="s">
        <v>245</v>
      </c>
      <c r="D15" s="43" t="s">
        <v>246</v>
      </c>
      <c r="E15" s="57">
        <v>43563.0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>
      <c r="A16" s="33" t="s">
        <v>205</v>
      </c>
      <c r="B16" s="33" t="s">
        <v>236</v>
      </c>
      <c r="C16" s="33" t="s">
        <v>228</v>
      </c>
      <c r="D16" s="34" t="s">
        <v>247</v>
      </c>
      <c r="E16" s="56">
        <v>43563.0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</row>
    <row r="17" hidden="1">
      <c r="A17" s="42" t="s">
        <v>173</v>
      </c>
      <c r="B17" s="42" t="s">
        <v>248</v>
      </c>
      <c r="C17" s="42" t="s">
        <v>249</v>
      </c>
      <c r="D17" s="43" t="s">
        <v>250</v>
      </c>
      <c r="E17" s="57">
        <v>43563.0</v>
      </c>
      <c r="F17" s="42" t="s">
        <v>41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>
      <c r="A18" s="33" t="s">
        <v>251</v>
      </c>
      <c r="B18" s="33" t="s">
        <v>240</v>
      </c>
      <c r="C18" s="33" t="s">
        <v>233</v>
      </c>
      <c r="D18" s="34" t="s">
        <v>252</v>
      </c>
      <c r="E18" s="56">
        <v>43563.0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</row>
    <row r="19">
      <c r="A19" s="42" t="s">
        <v>166</v>
      </c>
      <c r="B19" s="42" t="s">
        <v>236</v>
      </c>
      <c r="C19" s="42" t="s">
        <v>233</v>
      </c>
      <c r="D19" s="43" t="s">
        <v>253</v>
      </c>
      <c r="E19" s="57">
        <v>43563.0</v>
      </c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>
      <c r="A20" s="33" t="s">
        <v>254</v>
      </c>
      <c r="B20" s="33" t="s">
        <v>255</v>
      </c>
      <c r="C20" s="33" t="s">
        <v>256</v>
      </c>
      <c r="D20" s="34" t="s">
        <v>257</v>
      </c>
      <c r="E20" s="56">
        <v>43535.0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</row>
    <row r="21">
      <c r="A21" s="42" t="s">
        <v>258</v>
      </c>
      <c r="B21" s="42" t="s">
        <v>216</v>
      </c>
      <c r="C21" s="42" t="s">
        <v>259</v>
      </c>
      <c r="D21" s="43" t="s">
        <v>260</v>
      </c>
      <c r="E21" s="57">
        <v>43535.0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>
      <c r="A22" s="33" t="s">
        <v>261</v>
      </c>
      <c r="B22" s="33" t="s">
        <v>181</v>
      </c>
      <c r="C22" s="33" t="s">
        <v>114</v>
      </c>
      <c r="D22" s="34" t="s">
        <v>262</v>
      </c>
      <c r="E22" s="56">
        <v>43535.0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</row>
    <row r="23">
      <c r="A23" s="42" t="s">
        <v>263</v>
      </c>
      <c r="B23" s="42" t="s">
        <v>216</v>
      </c>
      <c r="C23" s="42" t="s">
        <v>264</v>
      </c>
      <c r="D23" s="43" t="s">
        <v>265</v>
      </c>
      <c r="E23" s="57">
        <v>43535.0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</row>
    <row r="24">
      <c r="A24" s="33" t="s">
        <v>168</v>
      </c>
      <c r="B24" s="33" t="s">
        <v>216</v>
      </c>
      <c r="C24" s="33" t="s">
        <v>30</v>
      </c>
      <c r="D24" s="34" t="s">
        <v>266</v>
      </c>
      <c r="E24" s="56">
        <v>43535.0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</row>
    <row r="25">
      <c r="A25" s="42" t="s">
        <v>267</v>
      </c>
      <c r="B25" s="42" t="s">
        <v>248</v>
      </c>
      <c r="C25" s="42" t="s">
        <v>26</v>
      </c>
      <c r="D25" s="43" t="s">
        <v>268</v>
      </c>
      <c r="E25" s="57">
        <v>43535.0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>
      <c r="A26" s="33" t="s">
        <v>269</v>
      </c>
      <c r="B26" s="33" t="s">
        <v>216</v>
      </c>
      <c r="C26" s="33" t="s">
        <v>114</v>
      </c>
      <c r="D26" s="34" t="s">
        <v>270</v>
      </c>
      <c r="E26" s="56">
        <v>43535.0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</row>
    <row r="27">
      <c r="A27" s="42" t="s">
        <v>271</v>
      </c>
      <c r="B27" s="42" t="s">
        <v>272</v>
      </c>
      <c r="C27" s="42" t="s">
        <v>273</v>
      </c>
      <c r="D27" s="43" t="s">
        <v>274</v>
      </c>
      <c r="E27" s="57">
        <v>43534.0</v>
      </c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>
      <c r="A28" s="33" t="s">
        <v>275</v>
      </c>
      <c r="B28" s="33" t="s">
        <v>216</v>
      </c>
      <c r="C28" s="33" t="s">
        <v>276</v>
      </c>
      <c r="D28" s="34" t="s">
        <v>277</v>
      </c>
      <c r="E28" s="56">
        <v>43527.0</v>
      </c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</row>
    <row r="29">
      <c r="A29" s="42" t="s">
        <v>278</v>
      </c>
      <c r="B29" s="42" t="s">
        <v>279</v>
      </c>
      <c r="C29" s="42" t="s">
        <v>280</v>
      </c>
      <c r="D29" s="43" t="s">
        <v>281</v>
      </c>
      <c r="E29" s="57">
        <v>43527.0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>
      <c r="A30" s="33" t="s">
        <v>282</v>
      </c>
      <c r="B30" s="33" t="s">
        <v>181</v>
      </c>
      <c r="C30" s="33" t="s">
        <v>233</v>
      </c>
      <c r="D30" s="34" t="s">
        <v>283</v>
      </c>
      <c r="E30" s="56">
        <v>43527.0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</row>
    <row r="31">
      <c r="A31" s="42" t="s">
        <v>284</v>
      </c>
      <c r="B31" s="42" t="s">
        <v>285</v>
      </c>
      <c r="C31" s="42" t="s">
        <v>286</v>
      </c>
      <c r="D31" s="43" t="s">
        <v>287</v>
      </c>
      <c r="E31" s="57">
        <v>43527.0</v>
      </c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</row>
    <row r="32">
      <c r="A32" s="33" t="s">
        <v>288</v>
      </c>
      <c r="B32" s="33" t="s">
        <v>289</v>
      </c>
      <c r="C32" s="33" t="s">
        <v>290</v>
      </c>
      <c r="D32" s="34" t="s">
        <v>291</v>
      </c>
      <c r="E32" s="56">
        <v>43527.0</v>
      </c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</row>
    <row r="33">
      <c r="A33" s="42" t="s">
        <v>292</v>
      </c>
      <c r="B33" s="42" t="s">
        <v>216</v>
      </c>
      <c r="C33" s="42" t="s">
        <v>198</v>
      </c>
      <c r="D33" s="43" t="s">
        <v>293</v>
      </c>
      <c r="E33" s="57">
        <v>43527.0</v>
      </c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>
      <c r="A34" s="33" t="s">
        <v>294</v>
      </c>
      <c r="B34" s="33" t="s">
        <v>181</v>
      </c>
      <c r="C34" s="33" t="s">
        <v>295</v>
      </c>
      <c r="D34" s="34" t="s">
        <v>296</v>
      </c>
      <c r="E34" s="56">
        <v>43527.0</v>
      </c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>
      <c r="A35" s="42" t="s">
        <v>297</v>
      </c>
      <c r="B35" s="42" t="s">
        <v>216</v>
      </c>
      <c r="C35" s="42" t="s">
        <v>290</v>
      </c>
      <c r="D35" s="43" t="s">
        <v>298</v>
      </c>
      <c r="E35" s="57">
        <v>43527.0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>
      <c r="A36" s="34" t="s">
        <v>299</v>
      </c>
      <c r="B36" s="33" t="s">
        <v>181</v>
      </c>
      <c r="C36" s="33" t="s">
        <v>233</v>
      </c>
      <c r="D36" s="34" t="s">
        <v>300</v>
      </c>
      <c r="E36" s="56">
        <v>43527.0</v>
      </c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</row>
    <row r="37">
      <c r="A37" s="43" t="s">
        <v>301</v>
      </c>
      <c r="B37" s="42" t="s">
        <v>216</v>
      </c>
      <c r="C37" s="42" t="s">
        <v>302</v>
      </c>
      <c r="D37" s="59" t="s">
        <v>303</v>
      </c>
      <c r="E37" s="57">
        <v>43520.0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>
      <c r="A38" s="33" t="s">
        <v>304</v>
      </c>
      <c r="B38" s="33" t="s">
        <v>305</v>
      </c>
      <c r="C38" s="33" t="s">
        <v>22</v>
      </c>
      <c r="D38" s="60" t="s">
        <v>306</v>
      </c>
      <c r="E38" s="56">
        <v>43520.0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</row>
    <row r="39">
      <c r="A39" s="42" t="s">
        <v>307</v>
      </c>
      <c r="B39" s="42" t="s">
        <v>216</v>
      </c>
      <c r="C39" s="42" t="s">
        <v>290</v>
      </c>
      <c r="D39" s="59" t="s">
        <v>308</v>
      </c>
      <c r="E39" s="57">
        <v>43520.0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>
      <c r="A40" s="33" t="s">
        <v>309</v>
      </c>
      <c r="B40" s="33" t="s">
        <v>310</v>
      </c>
      <c r="C40" s="33" t="s">
        <v>273</v>
      </c>
      <c r="D40" s="34" t="s">
        <v>311</v>
      </c>
      <c r="E40" s="56">
        <v>43520.0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</row>
    <row r="41">
      <c r="A41" s="42" t="s">
        <v>288</v>
      </c>
      <c r="B41" s="42" t="s">
        <v>216</v>
      </c>
      <c r="C41" s="42" t="s">
        <v>290</v>
      </c>
      <c r="D41" s="59" t="s">
        <v>312</v>
      </c>
      <c r="E41" s="57">
        <v>43520.0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>
      <c r="A42" s="33" t="s">
        <v>116</v>
      </c>
      <c r="B42" s="33" t="s">
        <v>216</v>
      </c>
      <c r="C42" s="33" t="s">
        <v>313</v>
      </c>
      <c r="D42" s="60" t="s">
        <v>314</v>
      </c>
      <c r="E42" s="56">
        <v>43520.0</v>
      </c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</row>
    <row r="43" ht="17.25" customHeight="1">
      <c r="A43" s="42" t="s">
        <v>28</v>
      </c>
      <c r="B43" s="42" t="s">
        <v>216</v>
      </c>
      <c r="C43" s="42" t="s">
        <v>315</v>
      </c>
      <c r="D43" s="61" t="s">
        <v>316</v>
      </c>
      <c r="E43" s="57">
        <v>43513.0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>
      <c r="A44" s="33" t="s">
        <v>317</v>
      </c>
      <c r="B44" s="33" t="s">
        <v>216</v>
      </c>
      <c r="C44" s="33" t="s">
        <v>233</v>
      </c>
      <c r="D44" s="58" t="s">
        <v>318</v>
      </c>
      <c r="E44" s="56">
        <v>43513.0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  <row r="45">
      <c r="A45" s="42" t="s">
        <v>319</v>
      </c>
      <c r="B45" s="42" t="s">
        <v>320</v>
      </c>
      <c r="C45" s="42" t="s">
        <v>321</v>
      </c>
      <c r="D45" s="43" t="s">
        <v>322</v>
      </c>
      <c r="E45" s="57">
        <v>43513.0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>
      <c r="A46" s="33" t="s">
        <v>323</v>
      </c>
      <c r="B46" s="33" t="s">
        <v>255</v>
      </c>
      <c r="C46" s="33" t="s">
        <v>324</v>
      </c>
      <c r="D46" s="58" t="s">
        <v>325</v>
      </c>
      <c r="E46" s="56">
        <v>43513.0</v>
      </c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</row>
    <row r="47">
      <c r="A47" s="42" t="s">
        <v>326</v>
      </c>
      <c r="B47" s="42" t="s">
        <v>255</v>
      </c>
      <c r="C47" s="42" t="s">
        <v>327</v>
      </c>
      <c r="D47" s="61" t="s">
        <v>328</v>
      </c>
      <c r="E47" s="57">
        <v>43513.0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>
      <c r="A48" s="33" t="s">
        <v>329</v>
      </c>
      <c r="B48" s="33" t="s">
        <v>216</v>
      </c>
      <c r="C48" s="33" t="s">
        <v>330</v>
      </c>
      <c r="D48" s="58" t="s">
        <v>331</v>
      </c>
      <c r="E48" s="56">
        <v>43513.0</v>
      </c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</row>
    <row r="49">
      <c r="A49" s="42" t="s">
        <v>332</v>
      </c>
      <c r="B49" s="42" t="s">
        <v>255</v>
      </c>
      <c r="C49" s="42" t="s">
        <v>233</v>
      </c>
      <c r="D49" s="61" t="s">
        <v>333</v>
      </c>
      <c r="E49" s="57">
        <v>43513.0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>
      <c r="A50" s="33" t="s">
        <v>334</v>
      </c>
      <c r="B50" s="33" t="s">
        <v>216</v>
      </c>
      <c r="C50" s="33" t="s">
        <v>335</v>
      </c>
      <c r="D50" s="58" t="s">
        <v>336</v>
      </c>
      <c r="E50" s="56">
        <v>43513.0</v>
      </c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</row>
    <row r="51">
      <c r="A51" s="42" t="s">
        <v>337</v>
      </c>
      <c r="B51" s="42" t="s">
        <v>209</v>
      </c>
      <c r="C51" s="42" t="s">
        <v>338</v>
      </c>
      <c r="D51" s="43" t="s">
        <v>339</v>
      </c>
      <c r="E51" s="44">
        <v>43506.0</v>
      </c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>
      <c r="A52" s="33" t="s">
        <v>158</v>
      </c>
      <c r="B52" s="33" t="s">
        <v>216</v>
      </c>
      <c r="C52" s="33" t="s">
        <v>228</v>
      </c>
      <c r="D52" s="34" t="s">
        <v>340</v>
      </c>
      <c r="E52" s="35">
        <v>43506.0</v>
      </c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</row>
    <row r="53">
      <c r="A53" s="42" t="s">
        <v>341</v>
      </c>
      <c r="B53" s="42" t="s">
        <v>209</v>
      </c>
      <c r="C53" s="42" t="s">
        <v>249</v>
      </c>
      <c r="D53" s="43" t="s">
        <v>342</v>
      </c>
      <c r="E53" s="44">
        <v>43506.0</v>
      </c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>
      <c r="A54" s="33" t="s">
        <v>343</v>
      </c>
      <c r="B54" s="33" t="s">
        <v>255</v>
      </c>
      <c r="C54" s="33" t="s">
        <v>344</v>
      </c>
      <c r="D54" s="34" t="s">
        <v>345</v>
      </c>
      <c r="E54" s="35">
        <v>43506.0</v>
      </c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</row>
    <row r="55">
      <c r="A55" s="42" t="s">
        <v>346</v>
      </c>
      <c r="B55" s="42" t="s">
        <v>255</v>
      </c>
      <c r="C55" s="42" t="s">
        <v>347</v>
      </c>
      <c r="D55" s="43" t="s">
        <v>348</v>
      </c>
      <c r="E55" s="44">
        <v>43506.0</v>
      </c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>
      <c r="A56" s="33" t="s">
        <v>349</v>
      </c>
      <c r="B56" s="33" t="s">
        <v>350</v>
      </c>
      <c r="C56" s="33" t="s">
        <v>338</v>
      </c>
      <c r="D56" s="34" t="s">
        <v>351</v>
      </c>
      <c r="E56" s="35">
        <v>43506.0</v>
      </c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</row>
    <row r="57">
      <c r="A57" s="42" t="s">
        <v>352</v>
      </c>
      <c r="B57" s="42" t="s">
        <v>216</v>
      </c>
      <c r="C57" s="42" t="s">
        <v>233</v>
      </c>
      <c r="D57" s="43" t="s">
        <v>353</v>
      </c>
      <c r="E57" s="44">
        <v>43506.0</v>
      </c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>
      <c r="A58" s="33" t="s">
        <v>239</v>
      </c>
      <c r="B58" s="33" t="s">
        <v>216</v>
      </c>
      <c r="C58" s="33" t="s">
        <v>354</v>
      </c>
      <c r="D58" s="34" t="s">
        <v>355</v>
      </c>
      <c r="E58" s="35">
        <v>43486.0</v>
      </c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</row>
    <row r="59">
      <c r="A59" s="42" t="s">
        <v>356</v>
      </c>
      <c r="B59" s="42" t="s">
        <v>357</v>
      </c>
      <c r="C59" s="42" t="s">
        <v>358</v>
      </c>
      <c r="D59" s="43" t="s">
        <v>359</v>
      </c>
      <c r="E59" s="44">
        <v>43486.0</v>
      </c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>
      <c r="A60" s="33" t="s">
        <v>343</v>
      </c>
      <c r="B60" s="33" t="s">
        <v>255</v>
      </c>
      <c r="C60" s="33" t="s">
        <v>344</v>
      </c>
      <c r="D60" s="34" t="s">
        <v>360</v>
      </c>
      <c r="E60" s="35">
        <v>43486.0</v>
      </c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</row>
    <row r="61">
      <c r="A61" s="42" t="s">
        <v>361</v>
      </c>
      <c r="B61" s="42" t="s">
        <v>255</v>
      </c>
      <c r="C61" s="42" t="s">
        <v>139</v>
      </c>
      <c r="D61" s="43" t="s">
        <v>362</v>
      </c>
      <c r="E61" s="44">
        <v>43486.0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>
      <c r="A62" s="33" t="s">
        <v>352</v>
      </c>
      <c r="B62" s="33" t="s">
        <v>216</v>
      </c>
      <c r="C62" s="33" t="s">
        <v>233</v>
      </c>
      <c r="D62" s="34" t="s">
        <v>363</v>
      </c>
      <c r="E62" s="35">
        <v>43486.0</v>
      </c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</row>
    <row r="63">
      <c r="A63" s="42" t="s">
        <v>113</v>
      </c>
      <c r="B63" s="42" t="s">
        <v>216</v>
      </c>
      <c r="C63" s="42" t="s">
        <v>364</v>
      </c>
      <c r="D63" s="43" t="s">
        <v>365</v>
      </c>
      <c r="E63" s="44">
        <v>43486.0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>
      <c r="A64" s="33" t="s">
        <v>366</v>
      </c>
      <c r="B64" s="33" t="s">
        <v>367</v>
      </c>
      <c r="C64" s="33" t="s">
        <v>30</v>
      </c>
      <c r="D64" s="34" t="s">
        <v>368</v>
      </c>
      <c r="E64" s="35">
        <v>43474.0</v>
      </c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</row>
    <row r="65">
      <c r="A65" s="42" t="s">
        <v>369</v>
      </c>
      <c r="B65" s="42" t="s">
        <v>370</v>
      </c>
      <c r="C65" s="42" t="s">
        <v>371</v>
      </c>
      <c r="D65" s="43" t="s">
        <v>372</v>
      </c>
      <c r="E65" s="44">
        <v>43473.0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>
      <c r="A66" s="33" t="s">
        <v>373</v>
      </c>
      <c r="B66" s="33" t="s">
        <v>374</v>
      </c>
      <c r="C66" s="33" t="s">
        <v>375</v>
      </c>
      <c r="D66" s="34" t="s">
        <v>376</v>
      </c>
      <c r="E66" s="35">
        <v>43462.0</v>
      </c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</row>
    <row r="67">
      <c r="A67" s="42" t="s">
        <v>373</v>
      </c>
      <c r="B67" s="42" t="s">
        <v>377</v>
      </c>
      <c r="C67" s="42" t="s">
        <v>375</v>
      </c>
      <c r="D67" s="43" t="s">
        <v>378</v>
      </c>
      <c r="E67" s="44">
        <v>43462.0</v>
      </c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>
      <c r="A68" s="33" t="s">
        <v>379</v>
      </c>
      <c r="B68" s="33" t="s">
        <v>380</v>
      </c>
      <c r="C68" s="33" t="s">
        <v>381</v>
      </c>
      <c r="D68" s="34" t="s">
        <v>382</v>
      </c>
      <c r="E68" s="35">
        <v>43462.0</v>
      </c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</row>
    <row r="69">
      <c r="A69" s="42" t="s">
        <v>383</v>
      </c>
      <c r="B69" s="42" t="s">
        <v>384</v>
      </c>
      <c r="C69" s="42" t="s">
        <v>233</v>
      </c>
      <c r="D69" s="43" t="s">
        <v>385</v>
      </c>
      <c r="E69" s="44">
        <v>43462.0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>
      <c r="A70" s="33" t="s">
        <v>383</v>
      </c>
      <c r="B70" s="33" t="s">
        <v>386</v>
      </c>
      <c r="C70" s="33" t="s">
        <v>233</v>
      </c>
      <c r="D70" s="34" t="s">
        <v>387</v>
      </c>
      <c r="E70" s="35">
        <v>43462.0</v>
      </c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</row>
    <row r="71">
      <c r="A71" s="42" t="s">
        <v>388</v>
      </c>
      <c r="B71" s="42" t="s">
        <v>248</v>
      </c>
      <c r="C71" s="42" t="s">
        <v>233</v>
      </c>
      <c r="D71" s="43" t="s">
        <v>389</v>
      </c>
      <c r="E71" s="44">
        <v>43462.0</v>
      </c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>
      <c r="A72" s="33" t="s">
        <v>390</v>
      </c>
      <c r="B72" s="33" t="s">
        <v>216</v>
      </c>
      <c r="C72" s="33" t="s">
        <v>338</v>
      </c>
      <c r="D72" s="34" t="s">
        <v>391</v>
      </c>
      <c r="E72" s="35">
        <v>43462.0</v>
      </c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</row>
    <row r="73">
      <c r="A73" s="42" t="s">
        <v>392</v>
      </c>
      <c r="B73" s="42" t="s">
        <v>393</v>
      </c>
      <c r="C73" s="42" t="s">
        <v>394</v>
      </c>
      <c r="D73" s="43" t="s">
        <v>395</v>
      </c>
      <c r="E73" s="44">
        <v>43462.0</v>
      </c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>
      <c r="A74" s="33" t="s">
        <v>392</v>
      </c>
      <c r="B74" s="33" t="s">
        <v>396</v>
      </c>
      <c r="C74" s="33" t="s">
        <v>397</v>
      </c>
      <c r="D74" s="34" t="s">
        <v>398</v>
      </c>
      <c r="E74" s="35">
        <v>43462.0</v>
      </c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</row>
    <row r="75">
      <c r="A75" s="42" t="s">
        <v>392</v>
      </c>
      <c r="B75" s="42" t="s">
        <v>399</v>
      </c>
      <c r="C75" s="42" t="s">
        <v>400</v>
      </c>
      <c r="D75" s="43" t="s">
        <v>401</v>
      </c>
      <c r="E75" s="44">
        <v>43462.0</v>
      </c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>
      <c r="A76" s="33" t="s">
        <v>392</v>
      </c>
      <c r="B76" s="33" t="s">
        <v>216</v>
      </c>
      <c r="C76" s="33" t="s">
        <v>402</v>
      </c>
      <c r="D76" s="34" t="s">
        <v>403</v>
      </c>
      <c r="E76" s="35">
        <v>43462.0</v>
      </c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</row>
    <row r="77">
      <c r="A77" s="42" t="s">
        <v>392</v>
      </c>
      <c r="B77" s="42" t="s">
        <v>216</v>
      </c>
      <c r="C77" s="42" t="s">
        <v>402</v>
      </c>
      <c r="D77" s="43" t="s">
        <v>404</v>
      </c>
      <c r="E77" s="44">
        <v>43462.0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>
      <c r="A78" s="33" t="s">
        <v>392</v>
      </c>
      <c r="B78" s="33" t="s">
        <v>399</v>
      </c>
      <c r="C78" s="33" t="s">
        <v>96</v>
      </c>
      <c r="D78" s="34" t="s">
        <v>405</v>
      </c>
      <c r="E78" s="35">
        <v>43462.0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</row>
    <row r="79">
      <c r="A79" s="42" t="s">
        <v>392</v>
      </c>
      <c r="B79" s="42" t="s">
        <v>406</v>
      </c>
      <c r="C79" s="42" t="s">
        <v>96</v>
      </c>
      <c r="D79" s="43" t="s">
        <v>407</v>
      </c>
      <c r="E79" s="44">
        <v>43462.0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>
      <c r="A80" s="33" t="s">
        <v>392</v>
      </c>
      <c r="B80" s="33" t="s">
        <v>408</v>
      </c>
      <c r="C80" s="33" t="s">
        <v>96</v>
      </c>
      <c r="D80" s="34" t="s">
        <v>409</v>
      </c>
      <c r="E80" s="35">
        <v>43462.0</v>
      </c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</row>
    <row r="81">
      <c r="A81" s="42" t="s">
        <v>410</v>
      </c>
      <c r="B81" s="42" t="s">
        <v>411</v>
      </c>
      <c r="C81" s="42" t="s">
        <v>412</v>
      </c>
      <c r="D81" s="43" t="s">
        <v>413</v>
      </c>
      <c r="E81" s="44">
        <v>43462.0</v>
      </c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>
      <c r="A82" s="33" t="s">
        <v>414</v>
      </c>
      <c r="B82" s="33" t="s">
        <v>415</v>
      </c>
      <c r="C82" s="33" t="s">
        <v>416</v>
      </c>
      <c r="D82" s="34" t="s">
        <v>417</v>
      </c>
      <c r="E82" s="35">
        <v>43457.0</v>
      </c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>
      <c r="A83" s="42" t="s">
        <v>418</v>
      </c>
      <c r="B83" s="42" t="s">
        <v>419</v>
      </c>
      <c r="C83" s="42" t="s">
        <v>420</v>
      </c>
      <c r="D83" s="43" t="s">
        <v>421</v>
      </c>
      <c r="E83" s="44">
        <v>43457.0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>
      <c r="A84" s="33" t="s">
        <v>418</v>
      </c>
      <c r="B84" s="33" t="s">
        <v>422</v>
      </c>
      <c r="C84" s="33" t="s">
        <v>420</v>
      </c>
      <c r="D84" s="34" t="s">
        <v>423</v>
      </c>
      <c r="E84" s="35">
        <v>43457.0</v>
      </c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>
      <c r="A85" s="42" t="s">
        <v>418</v>
      </c>
      <c r="B85" s="42" t="s">
        <v>424</v>
      </c>
      <c r="C85" s="42" t="s">
        <v>420</v>
      </c>
      <c r="D85" s="43" t="s">
        <v>425</v>
      </c>
      <c r="E85" s="44">
        <v>43457.0</v>
      </c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>
      <c r="A86" s="33" t="s">
        <v>426</v>
      </c>
      <c r="B86" s="33" t="s">
        <v>216</v>
      </c>
      <c r="C86" s="33" t="s">
        <v>228</v>
      </c>
      <c r="D86" s="34" t="s">
        <v>427</v>
      </c>
      <c r="E86" s="35">
        <v>43457.0</v>
      </c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</row>
    <row r="87">
      <c r="A87" s="42" t="s">
        <v>426</v>
      </c>
      <c r="B87" s="42" t="s">
        <v>428</v>
      </c>
      <c r="C87" s="42" t="s">
        <v>228</v>
      </c>
      <c r="D87" s="43" t="s">
        <v>429</v>
      </c>
      <c r="E87" s="44">
        <v>43457.0</v>
      </c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>
      <c r="A88" s="33" t="s">
        <v>61</v>
      </c>
      <c r="B88" s="33" t="s">
        <v>216</v>
      </c>
      <c r="C88" s="33" t="s">
        <v>233</v>
      </c>
      <c r="D88" s="34" t="s">
        <v>430</v>
      </c>
      <c r="E88" s="35">
        <v>43457.0</v>
      </c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</row>
    <row r="89">
      <c r="A89" s="42" t="s">
        <v>61</v>
      </c>
      <c r="B89" s="42" t="s">
        <v>431</v>
      </c>
      <c r="C89" s="42" t="s">
        <v>233</v>
      </c>
      <c r="D89" s="43" t="s">
        <v>432</v>
      </c>
      <c r="E89" s="44">
        <v>43457.0</v>
      </c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>
      <c r="A90" s="33" t="s">
        <v>433</v>
      </c>
      <c r="B90" s="33" t="s">
        <v>434</v>
      </c>
      <c r="C90" s="33" t="s">
        <v>295</v>
      </c>
      <c r="D90" s="34" t="s">
        <v>435</v>
      </c>
      <c r="E90" s="35">
        <v>43457.0</v>
      </c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</row>
    <row r="91">
      <c r="A91" s="42" t="s">
        <v>433</v>
      </c>
      <c r="B91" s="42" t="s">
        <v>216</v>
      </c>
      <c r="C91" s="42" t="s">
        <v>295</v>
      </c>
      <c r="D91" s="43" t="s">
        <v>436</v>
      </c>
      <c r="E91" s="44">
        <v>43457.0</v>
      </c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>
      <c r="A92" s="33" t="s">
        <v>433</v>
      </c>
      <c r="B92" s="33" t="s">
        <v>216</v>
      </c>
      <c r="C92" s="33" t="s">
        <v>381</v>
      </c>
      <c r="D92" s="34" t="s">
        <v>437</v>
      </c>
      <c r="E92" s="35">
        <v>43457.0</v>
      </c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</row>
    <row r="93">
      <c r="A93" s="42" t="s">
        <v>438</v>
      </c>
      <c r="B93" s="42" t="s">
        <v>216</v>
      </c>
      <c r="C93" s="42" t="s">
        <v>439</v>
      </c>
      <c r="D93" s="43" t="s">
        <v>440</v>
      </c>
      <c r="E93" s="44">
        <v>43457.0</v>
      </c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>
      <c r="A94" s="33" t="s">
        <v>438</v>
      </c>
      <c r="B94" s="33" t="s">
        <v>441</v>
      </c>
      <c r="C94" s="33" t="s">
        <v>439</v>
      </c>
      <c r="D94" s="34" t="s">
        <v>442</v>
      </c>
      <c r="E94" s="35">
        <v>43457.0</v>
      </c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</row>
    <row r="95">
      <c r="A95" s="42" t="s">
        <v>438</v>
      </c>
      <c r="B95" s="42" t="s">
        <v>216</v>
      </c>
      <c r="C95" s="42" t="s">
        <v>443</v>
      </c>
      <c r="D95" s="43" t="s">
        <v>444</v>
      </c>
      <c r="E95" s="44">
        <v>43457.0</v>
      </c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>
      <c r="A96" s="33" t="s">
        <v>438</v>
      </c>
      <c r="B96" s="33" t="s">
        <v>441</v>
      </c>
      <c r="C96" s="33" t="s">
        <v>443</v>
      </c>
      <c r="D96" s="34" t="s">
        <v>445</v>
      </c>
      <c r="E96" s="35">
        <v>43457.0</v>
      </c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</row>
    <row r="97">
      <c r="A97" s="42" t="s">
        <v>446</v>
      </c>
      <c r="B97" s="42" t="s">
        <v>209</v>
      </c>
      <c r="C97" s="42" t="s">
        <v>447</v>
      </c>
      <c r="D97" s="43" t="s">
        <v>448</v>
      </c>
      <c r="E97" s="44">
        <v>43457.0</v>
      </c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>
      <c r="A98" s="33" t="s">
        <v>449</v>
      </c>
      <c r="B98" s="33" t="s">
        <v>450</v>
      </c>
      <c r="C98" s="33" t="s">
        <v>451</v>
      </c>
      <c r="D98" s="34" t="s">
        <v>452</v>
      </c>
      <c r="E98" s="35">
        <v>43457.0</v>
      </c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</row>
    <row r="99">
      <c r="A99" s="42" t="s">
        <v>453</v>
      </c>
      <c r="B99" s="42" t="s">
        <v>454</v>
      </c>
      <c r="C99" s="42" t="s">
        <v>295</v>
      </c>
      <c r="D99" s="43" t="s">
        <v>455</v>
      </c>
      <c r="E99" s="44">
        <v>43457.0</v>
      </c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>
      <c r="A100" s="33" t="s">
        <v>453</v>
      </c>
      <c r="B100" s="33" t="s">
        <v>456</v>
      </c>
      <c r="C100" s="33" t="s">
        <v>233</v>
      </c>
      <c r="D100" s="34" t="s">
        <v>457</v>
      </c>
      <c r="E100" s="35">
        <v>43457.0</v>
      </c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</row>
    <row r="101">
      <c r="A101" s="42" t="s">
        <v>453</v>
      </c>
      <c r="B101" s="42" t="s">
        <v>454</v>
      </c>
      <c r="C101" s="42" t="s">
        <v>233</v>
      </c>
      <c r="D101" s="43" t="s">
        <v>458</v>
      </c>
      <c r="E101" s="44">
        <v>43457.0</v>
      </c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>
      <c r="A102" s="33" t="s">
        <v>453</v>
      </c>
      <c r="B102" s="33" t="s">
        <v>456</v>
      </c>
      <c r="C102" s="33" t="s">
        <v>338</v>
      </c>
      <c r="D102" s="34" t="s">
        <v>459</v>
      </c>
      <c r="E102" s="35">
        <v>43457.0</v>
      </c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</row>
    <row r="103">
      <c r="A103" s="42" t="s">
        <v>453</v>
      </c>
      <c r="B103" s="42" t="s">
        <v>454</v>
      </c>
      <c r="C103" s="42" t="s">
        <v>338</v>
      </c>
      <c r="D103" s="43" t="s">
        <v>460</v>
      </c>
      <c r="E103" s="44">
        <v>43457.0</v>
      </c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>
      <c r="A104" s="33" t="s">
        <v>461</v>
      </c>
      <c r="B104" s="33" t="s">
        <v>462</v>
      </c>
      <c r="C104" s="33" t="s">
        <v>228</v>
      </c>
      <c r="D104" s="34" t="s">
        <v>463</v>
      </c>
      <c r="E104" s="35">
        <v>43457.0</v>
      </c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</row>
    <row r="105">
      <c r="A105" s="42" t="s">
        <v>464</v>
      </c>
      <c r="B105" s="42" t="s">
        <v>465</v>
      </c>
      <c r="C105" s="42" t="s">
        <v>295</v>
      </c>
      <c r="D105" s="43" t="s">
        <v>466</v>
      </c>
      <c r="E105" s="44">
        <v>43457.0</v>
      </c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>
      <c r="A106" s="33" t="s">
        <v>464</v>
      </c>
      <c r="B106" s="33" t="s">
        <v>467</v>
      </c>
      <c r="C106" s="33" t="s">
        <v>295</v>
      </c>
      <c r="D106" s="34" t="s">
        <v>468</v>
      </c>
      <c r="E106" s="35">
        <v>43457.0</v>
      </c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</row>
    <row r="107">
      <c r="A107" s="42" t="s">
        <v>464</v>
      </c>
      <c r="B107" s="42" t="s">
        <v>469</v>
      </c>
      <c r="C107" s="42" t="s">
        <v>295</v>
      </c>
      <c r="D107" s="43" t="s">
        <v>470</v>
      </c>
      <c r="E107" s="44">
        <v>43457.0</v>
      </c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  <row r="108">
      <c r="A108" s="33" t="s">
        <v>464</v>
      </c>
      <c r="B108" s="33" t="s">
        <v>471</v>
      </c>
      <c r="C108" s="33" t="s">
        <v>295</v>
      </c>
      <c r="D108" s="34" t="s">
        <v>472</v>
      </c>
      <c r="E108" s="35">
        <v>43457.0</v>
      </c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</row>
    <row r="109">
      <c r="A109" s="42" t="s">
        <v>464</v>
      </c>
      <c r="B109" s="42" t="s">
        <v>473</v>
      </c>
      <c r="C109" s="42" t="s">
        <v>295</v>
      </c>
      <c r="D109" s="43" t="s">
        <v>474</v>
      </c>
      <c r="E109" s="44">
        <v>43457.0</v>
      </c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>
      <c r="A110" s="33" t="s">
        <v>475</v>
      </c>
      <c r="B110" s="33" t="s">
        <v>476</v>
      </c>
      <c r="C110" s="33" t="s">
        <v>416</v>
      </c>
      <c r="D110" s="34" t="s">
        <v>477</v>
      </c>
      <c r="E110" s="35">
        <v>43457.0</v>
      </c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</row>
    <row r="111">
      <c r="A111" s="42" t="s">
        <v>478</v>
      </c>
      <c r="B111" s="42" t="s">
        <v>479</v>
      </c>
      <c r="C111" s="42" t="s">
        <v>276</v>
      </c>
      <c r="D111" s="43" t="s">
        <v>480</v>
      </c>
      <c r="E111" s="44">
        <v>43457.0</v>
      </c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>
      <c r="A112" s="33" t="s">
        <v>481</v>
      </c>
      <c r="B112" s="33" t="s">
        <v>255</v>
      </c>
      <c r="C112" s="33" t="s">
        <v>338</v>
      </c>
      <c r="D112" s="34" t="s">
        <v>482</v>
      </c>
      <c r="E112" s="35">
        <v>43457.0</v>
      </c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</row>
    <row r="113">
      <c r="A113" s="42" t="s">
        <v>483</v>
      </c>
      <c r="B113" s="42" t="s">
        <v>216</v>
      </c>
      <c r="C113" s="42" t="s">
        <v>484</v>
      </c>
      <c r="D113" s="43" t="s">
        <v>485</v>
      </c>
      <c r="E113" s="44">
        <v>43457.0</v>
      </c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</row>
    <row r="114">
      <c r="A114" s="33" t="s">
        <v>486</v>
      </c>
      <c r="B114" s="33" t="s">
        <v>255</v>
      </c>
      <c r="C114" s="33" t="s">
        <v>487</v>
      </c>
      <c r="D114" s="34" t="s">
        <v>488</v>
      </c>
      <c r="E114" s="35">
        <v>43457.0</v>
      </c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</row>
    <row r="115">
      <c r="A115" s="42" t="s">
        <v>489</v>
      </c>
      <c r="B115" s="42" t="s">
        <v>490</v>
      </c>
      <c r="C115" s="42" t="s">
        <v>249</v>
      </c>
      <c r="D115" s="43" t="s">
        <v>491</v>
      </c>
      <c r="E115" s="44">
        <v>43457.0</v>
      </c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</row>
    <row r="116">
      <c r="A116" s="33" t="s">
        <v>492</v>
      </c>
      <c r="B116" s="33" t="s">
        <v>493</v>
      </c>
      <c r="C116" s="33" t="s">
        <v>494</v>
      </c>
      <c r="D116" s="34" t="s">
        <v>495</v>
      </c>
      <c r="E116" s="35">
        <v>43457.0</v>
      </c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</row>
    <row r="117">
      <c r="A117" s="42" t="s">
        <v>496</v>
      </c>
      <c r="B117" s="42" t="s">
        <v>497</v>
      </c>
      <c r="C117" s="42" t="s">
        <v>228</v>
      </c>
      <c r="D117" s="43" t="s">
        <v>498</v>
      </c>
      <c r="E117" s="44">
        <v>43457.0</v>
      </c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>
      <c r="A118" s="33" t="s">
        <v>499</v>
      </c>
      <c r="B118" s="33" t="s">
        <v>209</v>
      </c>
      <c r="C118" s="33" t="s">
        <v>233</v>
      </c>
      <c r="D118" s="34" t="s">
        <v>500</v>
      </c>
      <c r="E118" s="35">
        <v>43457.0</v>
      </c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</row>
    <row r="119">
      <c r="A119" s="42" t="s">
        <v>499</v>
      </c>
      <c r="B119" s="42" t="s">
        <v>255</v>
      </c>
      <c r="C119" s="42" t="s">
        <v>233</v>
      </c>
      <c r="D119" s="43" t="s">
        <v>501</v>
      </c>
      <c r="E119" s="44">
        <v>43457.0</v>
      </c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</row>
    <row r="120">
      <c r="A120" s="33" t="s">
        <v>502</v>
      </c>
      <c r="B120" s="33" t="s">
        <v>209</v>
      </c>
      <c r="C120" s="33" t="s">
        <v>233</v>
      </c>
      <c r="D120" s="34" t="s">
        <v>503</v>
      </c>
      <c r="E120" s="35">
        <v>43457.0</v>
      </c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  <row r="121">
      <c r="A121" s="42" t="s">
        <v>502</v>
      </c>
      <c r="B121" s="42" t="s">
        <v>504</v>
      </c>
      <c r="C121" s="42" t="s">
        <v>233</v>
      </c>
      <c r="D121" s="43" t="s">
        <v>505</v>
      </c>
      <c r="E121" s="44">
        <v>43457.0</v>
      </c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</row>
    <row r="122">
      <c r="A122" s="33" t="s">
        <v>502</v>
      </c>
      <c r="B122" s="33" t="s">
        <v>506</v>
      </c>
      <c r="C122" s="33" t="s">
        <v>233</v>
      </c>
      <c r="D122" s="34" t="s">
        <v>507</v>
      </c>
      <c r="E122" s="35">
        <v>43457.0</v>
      </c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</row>
    <row r="123">
      <c r="A123" s="42" t="s">
        <v>502</v>
      </c>
      <c r="B123" s="42" t="s">
        <v>508</v>
      </c>
      <c r="C123" s="42" t="s">
        <v>233</v>
      </c>
      <c r="D123" s="43" t="s">
        <v>509</v>
      </c>
      <c r="E123" s="44">
        <v>43457.0</v>
      </c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</row>
    <row r="124">
      <c r="A124" s="33" t="s">
        <v>510</v>
      </c>
      <c r="B124" s="33" t="s">
        <v>511</v>
      </c>
      <c r="C124" s="33" t="s">
        <v>512</v>
      </c>
      <c r="D124" s="34" t="s">
        <v>513</v>
      </c>
      <c r="E124" s="35">
        <v>43457.0</v>
      </c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</row>
    <row r="125">
      <c r="A125" s="42" t="s">
        <v>514</v>
      </c>
      <c r="B125" s="42" t="s">
        <v>515</v>
      </c>
      <c r="C125" s="42" t="s">
        <v>233</v>
      </c>
      <c r="D125" s="43" t="s">
        <v>516</v>
      </c>
      <c r="E125" s="44">
        <v>43457.0</v>
      </c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>
      <c r="A126" s="33" t="s">
        <v>514</v>
      </c>
      <c r="B126" s="33" t="s">
        <v>517</v>
      </c>
      <c r="C126" s="33" t="s">
        <v>233</v>
      </c>
      <c r="D126" s="34" t="s">
        <v>518</v>
      </c>
      <c r="E126" s="35">
        <v>43457.0</v>
      </c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</row>
    <row r="127">
      <c r="A127" s="42" t="s">
        <v>514</v>
      </c>
      <c r="B127" s="42" t="s">
        <v>216</v>
      </c>
      <c r="C127" s="42" t="s">
        <v>519</v>
      </c>
      <c r="D127" s="43" t="s">
        <v>520</v>
      </c>
      <c r="E127" s="44">
        <v>43457.0</v>
      </c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</row>
    <row r="128">
      <c r="A128" s="33" t="s">
        <v>521</v>
      </c>
      <c r="B128" s="33" t="s">
        <v>522</v>
      </c>
      <c r="C128" s="33" t="s">
        <v>523</v>
      </c>
      <c r="D128" s="34" t="s">
        <v>524</v>
      </c>
      <c r="E128" s="35">
        <v>43457.0</v>
      </c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</row>
    <row r="129">
      <c r="A129" s="42" t="s">
        <v>64</v>
      </c>
      <c r="B129" s="42" t="s">
        <v>525</v>
      </c>
      <c r="C129" s="42" t="s">
        <v>233</v>
      </c>
      <c r="D129" s="43" t="s">
        <v>526</v>
      </c>
      <c r="E129" s="44">
        <v>43457.0</v>
      </c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>
      <c r="A130" s="33" t="s">
        <v>64</v>
      </c>
      <c r="B130" s="33" t="s">
        <v>255</v>
      </c>
      <c r="C130" s="33" t="s">
        <v>65</v>
      </c>
      <c r="D130" s="34" t="s">
        <v>527</v>
      </c>
      <c r="E130" s="35">
        <v>43457.0</v>
      </c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</row>
    <row r="131">
      <c r="A131" s="42" t="s">
        <v>64</v>
      </c>
      <c r="B131" s="42" t="s">
        <v>216</v>
      </c>
      <c r="C131" s="42" t="s">
        <v>528</v>
      </c>
      <c r="D131" s="43" t="s">
        <v>529</v>
      </c>
      <c r="E131" s="44">
        <v>43457.0</v>
      </c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</row>
    <row r="132">
      <c r="A132" s="33" t="s">
        <v>530</v>
      </c>
      <c r="B132" s="33" t="s">
        <v>216</v>
      </c>
      <c r="C132" s="33" t="s">
        <v>233</v>
      </c>
      <c r="D132" s="34" t="s">
        <v>531</v>
      </c>
      <c r="E132" s="35">
        <v>43457.0</v>
      </c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</row>
    <row r="133" hidden="1">
      <c r="A133" s="42" t="s">
        <v>532</v>
      </c>
      <c r="B133" s="42" t="s">
        <v>216</v>
      </c>
      <c r="C133" s="42" t="s">
        <v>249</v>
      </c>
      <c r="D133" s="43" t="s">
        <v>533</v>
      </c>
      <c r="E133" s="44">
        <v>43457.0</v>
      </c>
      <c r="F133" s="42" t="s">
        <v>41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 hidden="1">
      <c r="A134" s="33" t="s">
        <v>532</v>
      </c>
      <c r="B134" s="33" t="s">
        <v>534</v>
      </c>
      <c r="C134" s="33" t="s">
        <v>249</v>
      </c>
      <c r="D134" s="34" t="s">
        <v>535</v>
      </c>
      <c r="E134" s="35">
        <v>43457.0</v>
      </c>
      <c r="F134" s="33" t="s">
        <v>41</v>
      </c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</row>
    <row r="135" hidden="1">
      <c r="A135" s="42" t="s">
        <v>532</v>
      </c>
      <c r="B135" s="42" t="s">
        <v>536</v>
      </c>
      <c r="C135" s="42" t="s">
        <v>249</v>
      </c>
      <c r="D135" s="43" t="s">
        <v>537</v>
      </c>
      <c r="E135" s="44">
        <v>43457.0</v>
      </c>
      <c r="F135" s="42" t="s">
        <v>41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</row>
    <row r="136" hidden="1">
      <c r="A136" s="33" t="s">
        <v>532</v>
      </c>
      <c r="B136" s="33" t="s">
        <v>538</v>
      </c>
      <c r="C136" s="33" t="s">
        <v>249</v>
      </c>
      <c r="D136" s="34" t="s">
        <v>539</v>
      </c>
      <c r="E136" s="35">
        <v>43457.0</v>
      </c>
      <c r="F136" s="33" t="s">
        <v>41</v>
      </c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</row>
    <row r="137">
      <c r="A137" s="42" t="s">
        <v>540</v>
      </c>
      <c r="B137" s="42" t="s">
        <v>255</v>
      </c>
      <c r="C137" s="42" t="s">
        <v>541</v>
      </c>
      <c r="D137" s="43" t="s">
        <v>542</v>
      </c>
      <c r="E137" s="44">
        <v>43457.0</v>
      </c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>
      <c r="A138" s="33" t="s">
        <v>543</v>
      </c>
      <c r="B138" s="33" t="s">
        <v>544</v>
      </c>
      <c r="C138" s="33" t="s">
        <v>545</v>
      </c>
      <c r="D138" s="34" t="s">
        <v>546</v>
      </c>
      <c r="E138" s="35">
        <v>43457.0</v>
      </c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</row>
    <row r="139">
      <c r="A139" s="42" t="s">
        <v>543</v>
      </c>
      <c r="B139" s="42" t="s">
        <v>547</v>
      </c>
      <c r="C139" s="42" t="s">
        <v>545</v>
      </c>
      <c r="D139" s="43" t="s">
        <v>548</v>
      </c>
      <c r="E139" s="44">
        <v>43457.0</v>
      </c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</row>
    <row r="140">
      <c r="A140" s="33" t="s">
        <v>543</v>
      </c>
      <c r="B140" s="33" t="s">
        <v>248</v>
      </c>
      <c r="C140" s="33" t="s">
        <v>545</v>
      </c>
      <c r="D140" s="34" t="s">
        <v>549</v>
      </c>
      <c r="E140" s="35">
        <v>43457.0</v>
      </c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</row>
    <row r="141">
      <c r="A141" s="42" t="s">
        <v>550</v>
      </c>
      <c r="B141" s="42" t="s">
        <v>209</v>
      </c>
      <c r="C141" s="42" t="s">
        <v>551</v>
      </c>
      <c r="D141" s="43" t="s">
        <v>552</v>
      </c>
      <c r="E141" s="44">
        <v>43457.0</v>
      </c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</row>
    <row r="142">
      <c r="A142" s="33" t="s">
        <v>550</v>
      </c>
      <c r="B142" s="33" t="s">
        <v>216</v>
      </c>
      <c r="C142" s="33" t="s">
        <v>551</v>
      </c>
      <c r="D142" s="34" t="s">
        <v>553</v>
      </c>
      <c r="E142" s="35">
        <v>43457.0</v>
      </c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</row>
    <row r="143">
      <c r="A143" s="42" t="s">
        <v>67</v>
      </c>
      <c r="B143" s="42" t="s">
        <v>554</v>
      </c>
      <c r="C143" s="42" t="s">
        <v>233</v>
      </c>
      <c r="D143" s="43" t="s">
        <v>555</v>
      </c>
      <c r="E143" s="44">
        <v>43457.0</v>
      </c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>
      <c r="A144" s="33" t="s">
        <v>67</v>
      </c>
      <c r="B144" s="33" t="s">
        <v>216</v>
      </c>
      <c r="C144" s="33" t="s">
        <v>233</v>
      </c>
      <c r="D144" s="34" t="s">
        <v>556</v>
      </c>
      <c r="E144" s="35">
        <v>43457.0</v>
      </c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</row>
    <row r="145">
      <c r="A145" s="42" t="s">
        <v>67</v>
      </c>
      <c r="B145" s="42" t="s">
        <v>557</v>
      </c>
      <c r="C145" s="42" t="s">
        <v>233</v>
      </c>
      <c r="D145" s="43" t="s">
        <v>558</v>
      </c>
      <c r="E145" s="44">
        <v>43457.0</v>
      </c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</row>
    <row r="146">
      <c r="A146" s="33" t="s">
        <v>67</v>
      </c>
      <c r="B146" s="33" t="s">
        <v>559</v>
      </c>
      <c r="C146" s="33" t="s">
        <v>233</v>
      </c>
      <c r="D146" s="34" t="s">
        <v>560</v>
      </c>
      <c r="E146" s="35">
        <v>43457.0</v>
      </c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</row>
    <row r="147">
      <c r="A147" s="42" t="s">
        <v>67</v>
      </c>
      <c r="B147" s="42" t="s">
        <v>561</v>
      </c>
      <c r="C147" s="42" t="s">
        <v>233</v>
      </c>
      <c r="D147" s="43" t="s">
        <v>562</v>
      </c>
      <c r="E147" s="44">
        <v>43457.0</v>
      </c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</row>
    <row r="148">
      <c r="A148" s="33" t="s">
        <v>67</v>
      </c>
      <c r="B148" s="33" t="s">
        <v>563</v>
      </c>
      <c r="C148" s="33" t="s">
        <v>233</v>
      </c>
      <c r="D148" s="34" t="s">
        <v>564</v>
      </c>
      <c r="E148" s="35">
        <v>43457.0</v>
      </c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</row>
    <row r="149">
      <c r="A149" s="42" t="s">
        <v>67</v>
      </c>
      <c r="B149" s="42" t="s">
        <v>255</v>
      </c>
      <c r="C149" s="42" t="s">
        <v>233</v>
      </c>
      <c r="D149" s="43" t="s">
        <v>565</v>
      </c>
      <c r="E149" s="44">
        <v>43457.0</v>
      </c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>
      <c r="A150" s="33" t="s">
        <v>67</v>
      </c>
      <c r="B150" s="33" t="s">
        <v>216</v>
      </c>
      <c r="C150" s="33" t="s">
        <v>358</v>
      </c>
      <c r="D150" s="34" t="s">
        <v>566</v>
      </c>
      <c r="E150" s="35">
        <v>43457.0</v>
      </c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</row>
    <row r="151">
      <c r="A151" s="42" t="s">
        <v>67</v>
      </c>
      <c r="B151" s="42" t="s">
        <v>216</v>
      </c>
      <c r="C151" s="42" t="s">
        <v>519</v>
      </c>
      <c r="D151" s="43" t="s">
        <v>567</v>
      </c>
      <c r="E151" s="44">
        <v>43457.0</v>
      </c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>
      <c r="A152" s="33" t="s">
        <v>568</v>
      </c>
      <c r="B152" s="33" t="s">
        <v>310</v>
      </c>
      <c r="C152" s="33" t="s">
        <v>233</v>
      </c>
      <c r="D152" s="34" t="s">
        <v>569</v>
      </c>
      <c r="E152" s="35">
        <v>43457.0</v>
      </c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</row>
    <row r="153">
      <c r="A153" s="42" t="s">
        <v>568</v>
      </c>
      <c r="B153" s="42" t="s">
        <v>216</v>
      </c>
      <c r="C153" s="42" t="s">
        <v>233</v>
      </c>
      <c r="D153" s="43" t="s">
        <v>570</v>
      </c>
      <c r="E153" s="44">
        <v>43457.0</v>
      </c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</row>
    <row r="154">
      <c r="A154" s="33" t="s">
        <v>414</v>
      </c>
      <c r="B154" s="33" t="s">
        <v>571</v>
      </c>
      <c r="C154" s="33" t="s">
        <v>416</v>
      </c>
      <c r="D154" s="34" t="s">
        <v>572</v>
      </c>
      <c r="E154" s="56">
        <v>43451.0</v>
      </c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</row>
    <row r="155">
      <c r="A155" s="42" t="s">
        <v>573</v>
      </c>
      <c r="B155" s="42" t="s">
        <v>216</v>
      </c>
      <c r="C155" s="42" t="s">
        <v>233</v>
      </c>
      <c r="D155" s="43" t="s">
        <v>574</v>
      </c>
      <c r="E155" s="57">
        <v>43451.0</v>
      </c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</row>
    <row r="156">
      <c r="A156" s="33" t="s">
        <v>575</v>
      </c>
      <c r="B156" s="33" t="s">
        <v>216</v>
      </c>
      <c r="C156" s="33" t="s">
        <v>576</v>
      </c>
      <c r="D156" s="34" t="s">
        <v>577</v>
      </c>
      <c r="E156" s="56">
        <v>43451.0</v>
      </c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</row>
    <row r="157">
      <c r="A157" s="42" t="s">
        <v>578</v>
      </c>
      <c r="B157" s="42" t="s">
        <v>216</v>
      </c>
      <c r="C157" s="42" t="s">
        <v>228</v>
      </c>
      <c r="D157" s="43" t="s">
        <v>579</v>
      </c>
      <c r="E157" s="57">
        <v>43451.0</v>
      </c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</row>
    <row r="158">
      <c r="A158" s="33" t="s">
        <v>580</v>
      </c>
      <c r="B158" s="33" t="s">
        <v>255</v>
      </c>
      <c r="C158" s="33" t="s">
        <v>233</v>
      </c>
      <c r="D158" s="34" t="s">
        <v>581</v>
      </c>
      <c r="E158" s="56">
        <v>43451.0</v>
      </c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</row>
    <row r="159">
      <c r="A159" s="42" t="s">
        <v>582</v>
      </c>
      <c r="B159" s="42" t="s">
        <v>255</v>
      </c>
      <c r="C159" s="42" t="s">
        <v>583</v>
      </c>
      <c r="D159" s="43" t="s">
        <v>584</v>
      </c>
      <c r="E159" s="57">
        <v>43451.0</v>
      </c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</row>
    <row r="160">
      <c r="A160" s="33" t="s">
        <v>585</v>
      </c>
      <c r="B160" s="33" t="s">
        <v>216</v>
      </c>
      <c r="C160" s="33" t="s">
        <v>228</v>
      </c>
      <c r="D160" s="34" t="s">
        <v>586</v>
      </c>
      <c r="E160" s="56">
        <v>43451.0</v>
      </c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</row>
    <row r="161">
      <c r="A161" s="42" t="s">
        <v>587</v>
      </c>
      <c r="B161" s="42" t="s">
        <v>216</v>
      </c>
      <c r="C161" s="42" t="s">
        <v>26</v>
      </c>
      <c r="D161" s="43" t="s">
        <v>588</v>
      </c>
      <c r="E161" s="57">
        <v>43443.0</v>
      </c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>
      <c r="A162" s="33" t="s">
        <v>589</v>
      </c>
      <c r="B162" s="33" t="s">
        <v>216</v>
      </c>
      <c r="C162" s="33" t="s">
        <v>494</v>
      </c>
      <c r="D162" s="60" t="s">
        <v>590</v>
      </c>
      <c r="E162" s="56">
        <v>43443.0</v>
      </c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</row>
    <row r="163">
      <c r="A163" s="42" t="s">
        <v>591</v>
      </c>
      <c r="B163" s="42" t="s">
        <v>216</v>
      </c>
      <c r="C163" s="42" t="s">
        <v>494</v>
      </c>
      <c r="D163" s="59" t="s">
        <v>592</v>
      </c>
      <c r="E163" s="57">
        <v>43443.0</v>
      </c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</row>
    <row r="164">
      <c r="A164" s="33" t="s">
        <v>593</v>
      </c>
      <c r="B164" s="33" t="s">
        <v>216</v>
      </c>
      <c r="C164" s="33" t="s">
        <v>142</v>
      </c>
      <c r="D164" s="34" t="s">
        <v>594</v>
      </c>
      <c r="E164" s="56">
        <v>43443.0</v>
      </c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</row>
    <row r="165">
      <c r="A165" s="42" t="s">
        <v>595</v>
      </c>
      <c r="B165" s="42" t="s">
        <v>216</v>
      </c>
      <c r="C165" s="42" t="s">
        <v>315</v>
      </c>
      <c r="D165" s="59" t="s">
        <v>596</v>
      </c>
      <c r="E165" s="57">
        <v>43443.0</v>
      </c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>
      <c r="A166" s="33" t="s">
        <v>597</v>
      </c>
      <c r="B166" s="33" t="s">
        <v>216</v>
      </c>
      <c r="C166" s="33" t="s">
        <v>26</v>
      </c>
      <c r="D166" s="34" t="s">
        <v>598</v>
      </c>
      <c r="E166" s="56">
        <v>43443.0</v>
      </c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</row>
    <row r="167">
      <c r="A167" s="42" t="s">
        <v>205</v>
      </c>
      <c r="B167" s="42" t="s">
        <v>599</v>
      </c>
      <c r="C167" s="42" t="s">
        <v>207</v>
      </c>
      <c r="D167" s="43" t="s">
        <v>600</v>
      </c>
      <c r="E167" s="57">
        <v>43437.0</v>
      </c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</row>
    <row r="168">
      <c r="A168" s="33" t="s">
        <v>601</v>
      </c>
      <c r="B168" s="33" t="s">
        <v>216</v>
      </c>
      <c r="C168" s="33" t="s">
        <v>576</v>
      </c>
      <c r="D168" s="34" t="s">
        <v>602</v>
      </c>
      <c r="E168" s="56">
        <v>43437.0</v>
      </c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</row>
    <row r="169">
      <c r="A169" s="42" t="s">
        <v>603</v>
      </c>
      <c r="B169" s="42" t="s">
        <v>604</v>
      </c>
      <c r="C169" s="42" t="s">
        <v>233</v>
      </c>
      <c r="D169" s="62" t="s">
        <v>605</v>
      </c>
      <c r="E169" s="57">
        <v>43437.0</v>
      </c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0">
      <c r="A170" s="33" t="s">
        <v>606</v>
      </c>
      <c r="B170" s="33" t="s">
        <v>607</v>
      </c>
      <c r="C170" s="33" t="s">
        <v>338</v>
      </c>
      <c r="D170" s="34" t="s">
        <v>608</v>
      </c>
      <c r="E170" s="56">
        <v>43437.0</v>
      </c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</row>
    <row r="171">
      <c r="A171" s="42" t="s">
        <v>609</v>
      </c>
      <c r="B171" s="42" t="s">
        <v>209</v>
      </c>
      <c r="C171" s="42" t="s">
        <v>191</v>
      </c>
      <c r="D171" s="43" t="s">
        <v>610</v>
      </c>
      <c r="E171" s="57">
        <v>43437.0</v>
      </c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</row>
    <row r="172">
      <c r="A172" s="33" t="s">
        <v>611</v>
      </c>
      <c r="B172" s="33" t="s">
        <v>612</v>
      </c>
      <c r="C172" s="33" t="s">
        <v>576</v>
      </c>
      <c r="D172" s="34" t="s">
        <v>613</v>
      </c>
      <c r="E172" s="56">
        <v>43437.0</v>
      </c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</row>
    <row r="173">
      <c r="A173" s="42" t="s">
        <v>356</v>
      </c>
      <c r="B173" s="42" t="s">
        <v>181</v>
      </c>
      <c r="C173" s="42" t="s">
        <v>30</v>
      </c>
      <c r="D173" s="43" t="s">
        <v>614</v>
      </c>
      <c r="E173" s="44">
        <v>43431.0</v>
      </c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</row>
    <row r="174">
      <c r="A174" s="33" t="s">
        <v>88</v>
      </c>
      <c r="B174" s="33" t="s">
        <v>255</v>
      </c>
      <c r="C174" s="33" t="s">
        <v>615</v>
      </c>
      <c r="D174" s="34" t="s">
        <v>616</v>
      </c>
      <c r="E174" s="35">
        <v>43428.0</v>
      </c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</row>
    <row r="175">
      <c r="A175" s="42" t="s">
        <v>61</v>
      </c>
      <c r="B175" s="42" t="s">
        <v>216</v>
      </c>
      <c r="C175" s="42" t="s">
        <v>26</v>
      </c>
      <c r="D175" s="43" t="s">
        <v>617</v>
      </c>
      <c r="E175" s="44">
        <v>43428.0</v>
      </c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</row>
    <row r="176">
      <c r="A176" s="33" t="s">
        <v>618</v>
      </c>
      <c r="B176" s="33" t="s">
        <v>255</v>
      </c>
      <c r="C176" s="33" t="s">
        <v>142</v>
      </c>
      <c r="D176" s="34" t="s">
        <v>619</v>
      </c>
      <c r="E176" s="35">
        <v>43428.0</v>
      </c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</row>
    <row r="177">
      <c r="A177" s="42" t="s">
        <v>620</v>
      </c>
      <c r="B177" s="42" t="s">
        <v>621</v>
      </c>
      <c r="C177" s="42" t="s">
        <v>615</v>
      </c>
      <c r="D177" s="43" t="s">
        <v>622</v>
      </c>
      <c r="E177" s="44">
        <v>43428.0</v>
      </c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>
      <c r="A178" s="33" t="s">
        <v>390</v>
      </c>
      <c r="B178" s="33" t="s">
        <v>216</v>
      </c>
      <c r="C178" s="33" t="s">
        <v>615</v>
      </c>
      <c r="D178" s="34" t="s">
        <v>623</v>
      </c>
      <c r="E178" s="35">
        <v>43428.0</v>
      </c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</row>
    <row r="179">
      <c r="A179" s="42" t="s">
        <v>624</v>
      </c>
      <c r="B179" s="42" t="s">
        <v>255</v>
      </c>
      <c r="C179" s="42" t="s">
        <v>142</v>
      </c>
      <c r="D179" s="43" t="s">
        <v>625</v>
      </c>
      <c r="E179" s="44">
        <v>43428.0</v>
      </c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</row>
    <row r="180">
      <c r="A180" s="33" t="s">
        <v>626</v>
      </c>
      <c r="B180" s="33" t="s">
        <v>216</v>
      </c>
      <c r="C180" s="33" t="s">
        <v>302</v>
      </c>
      <c r="D180" s="34" t="s">
        <v>627</v>
      </c>
      <c r="E180" s="35">
        <v>43425.0</v>
      </c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</row>
    <row r="181">
      <c r="A181" s="42" t="s">
        <v>628</v>
      </c>
      <c r="B181" s="42" t="s">
        <v>629</v>
      </c>
      <c r="C181" s="42" t="s">
        <v>302</v>
      </c>
      <c r="D181" s="43" t="s">
        <v>630</v>
      </c>
      <c r="E181" s="44">
        <v>43425.0</v>
      </c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</row>
    <row r="182">
      <c r="A182" s="33" t="s">
        <v>631</v>
      </c>
      <c r="B182" s="33" t="s">
        <v>632</v>
      </c>
      <c r="C182" s="33" t="s">
        <v>26</v>
      </c>
      <c r="D182" s="34" t="s">
        <v>633</v>
      </c>
      <c r="E182" s="35">
        <v>43425.0</v>
      </c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</row>
    <row r="183">
      <c r="A183" s="42" t="s">
        <v>634</v>
      </c>
      <c r="B183" s="42" t="s">
        <v>216</v>
      </c>
      <c r="C183" s="42" t="s">
        <v>302</v>
      </c>
      <c r="D183" s="43" t="s">
        <v>635</v>
      </c>
      <c r="E183" s="44">
        <v>43425.0</v>
      </c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</row>
    <row r="184">
      <c r="A184" s="33" t="s">
        <v>636</v>
      </c>
      <c r="B184" s="33" t="s">
        <v>216</v>
      </c>
      <c r="C184" s="33" t="s">
        <v>302</v>
      </c>
      <c r="D184" s="34" t="s">
        <v>637</v>
      </c>
      <c r="E184" s="35">
        <v>43425.0</v>
      </c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</row>
    <row r="185">
      <c r="A185" s="42" t="s">
        <v>638</v>
      </c>
      <c r="B185" s="42" t="s">
        <v>216</v>
      </c>
      <c r="C185" s="42" t="s">
        <v>26</v>
      </c>
      <c r="D185" s="43" t="s">
        <v>639</v>
      </c>
      <c r="E185" s="44">
        <v>43423.0</v>
      </c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</row>
    <row r="186">
      <c r="A186" s="33" t="s">
        <v>640</v>
      </c>
      <c r="B186" s="33" t="s">
        <v>641</v>
      </c>
      <c r="C186" s="33" t="s">
        <v>512</v>
      </c>
      <c r="D186" s="34" t="s">
        <v>642</v>
      </c>
      <c r="E186" s="35">
        <v>43423.0</v>
      </c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</row>
    <row r="187">
      <c r="A187" s="42" t="s">
        <v>643</v>
      </c>
      <c r="B187" s="42" t="s">
        <v>216</v>
      </c>
      <c r="C187" s="42" t="s">
        <v>615</v>
      </c>
      <c r="D187" s="43" t="s">
        <v>644</v>
      </c>
      <c r="E187" s="44">
        <v>43423.0</v>
      </c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</row>
    <row r="188">
      <c r="A188" s="33" t="s">
        <v>645</v>
      </c>
      <c r="B188" s="33" t="s">
        <v>428</v>
      </c>
      <c r="C188" s="33" t="s">
        <v>191</v>
      </c>
      <c r="D188" s="34" t="s">
        <v>646</v>
      </c>
      <c r="E188" s="35">
        <v>43421.0</v>
      </c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</row>
    <row r="189">
      <c r="A189" s="42" t="s">
        <v>647</v>
      </c>
      <c r="B189" s="42" t="s">
        <v>648</v>
      </c>
      <c r="C189" s="42" t="s">
        <v>649</v>
      </c>
      <c r="D189" s="43" t="s">
        <v>650</v>
      </c>
      <c r="E189" s="44">
        <v>43421.0</v>
      </c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</row>
    <row r="190">
      <c r="A190" s="33" t="s">
        <v>651</v>
      </c>
      <c r="B190" s="33" t="s">
        <v>216</v>
      </c>
      <c r="C190" s="33" t="s">
        <v>652</v>
      </c>
      <c r="D190" s="34" t="s">
        <v>653</v>
      </c>
      <c r="E190" s="35">
        <v>43421.0</v>
      </c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</row>
    <row r="191">
      <c r="A191" s="42" t="s">
        <v>103</v>
      </c>
      <c r="B191" s="42" t="s">
        <v>216</v>
      </c>
      <c r="C191" s="42" t="s">
        <v>494</v>
      </c>
      <c r="D191" s="43" t="s">
        <v>654</v>
      </c>
      <c r="E191" s="44">
        <v>43421.0</v>
      </c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</row>
    <row r="192">
      <c r="A192" s="33" t="s">
        <v>611</v>
      </c>
      <c r="B192" s="33" t="s">
        <v>216</v>
      </c>
      <c r="C192" s="33" t="s">
        <v>576</v>
      </c>
      <c r="D192" s="34" t="s">
        <v>655</v>
      </c>
      <c r="E192" s="35">
        <v>43421.0</v>
      </c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</row>
    <row r="193">
      <c r="A193" s="42" t="s">
        <v>656</v>
      </c>
      <c r="B193" s="42" t="s">
        <v>216</v>
      </c>
      <c r="C193" s="42" t="s">
        <v>273</v>
      </c>
      <c r="D193" s="43" t="s">
        <v>657</v>
      </c>
      <c r="E193" s="44">
        <v>43421.0</v>
      </c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</row>
    <row r="194">
      <c r="A194" s="33" t="s">
        <v>239</v>
      </c>
      <c r="B194" s="33" t="s">
        <v>658</v>
      </c>
      <c r="C194" s="33" t="s">
        <v>659</v>
      </c>
      <c r="D194" s="34" t="s">
        <v>660</v>
      </c>
      <c r="E194" s="63">
        <v>43416.0</v>
      </c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</row>
    <row r="195">
      <c r="A195" s="42" t="s">
        <v>661</v>
      </c>
      <c r="B195" s="42" t="s">
        <v>216</v>
      </c>
      <c r="C195" s="42" t="s">
        <v>662</v>
      </c>
      <c r="D195" s="43" t="s">
        <v>663</v>
      </c>
      <c r="E195" s="64">
        <v>43416.0</v>
      </c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</row>
    <row r="196">
      <c r="A196" s="33" t="s">
        <v>664</v>
      </c>
      <c r="B196" s="33" t="s">
        <v>216</v>
      </c>
      <c r="C196" s="33" t="s">
        <v>142</v>
      </c>
      <c r="D196" s="34" t="s">
        <v>665</v>
      </c>
      <c r="E196" s="63">
        <v>43416.0</v>
      </c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</row>
    <row r="197">
      <c r="A197" s="42" t="s">
        <v>666</v>
      </c>
      <c r="B197" s="42" t="s">
        <v>216</v>
      </c>
      <c r="C197" s="42" t="s">
        <v>26</v>
      </c>
      <c r="D197" s="43" t="s">
        <v>667</v>
      </c>
      <c r="E197" s="64">
        <v>43416.0</v>
      </c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</row>
    <row r="198">
      <c r="A198" s="33" t="s">
        <v>343</v>
      </c>
      <c r="B198" s="33" t="s">
        <v>658</v>
      </c>
      <c r="C198" s="33" t="s">
        <v>114</v>
      </c>
      <c r="D198" s="34" t="s">
        <v>668</v>
      </c>
      <c r="E198" s="63">
        <v>43416.0</v>
      </c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</row>
    <row r="199">
      <c r="A199" s="42" t="s">
        <v>317</v>
      </c>
      <c r="B199" s="42" t="s">
        <v>216</v>
      </c>
      <c r="C199" s="42" t="s">
        <v>26</v>
      </c>
      <c r="D199" s="43" t="s">
        <v>669</v>
      </c>
      <c r="E199" s="65">
        <v>43409.0</v>
      </c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</row>
    <row r="200">
      <c r="A200" s="33" t="s">
        <v>670</v>
      </c>
      <c r="B200" s="33" t="s">
        <v>621</v>
      </c>
      <c r="C200" s="33" t="s">
        <v>315</v>
      </c>
      <c r="D200" s="34" t="s">
        <v>671</v>
      </c>
      <c r="E200" s="66">
        <v>43409.0</v>
      </c>
      <c r="F200" s="33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</row>
    <row r="201">
      <c r="A201" s="42" t="s">
        <v>672</v>
      </c>
      <c r="B201" s="42" t="s">
        <v>216</v>
      </c>
      <c r="C201" s="42" t="s">
        <v>26</v>
      </c>
      <c r="D201" s="43" t="s">
        <v>673</v>
      </c>
      <c r="E201" s="65">
        <v>43409.0</v>
      </c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</row>
    <row r="202">
      <c r="A202" s="33" t="s">
        <v>674</v>
      </c>
      <c r="B202" s="33" t="s">
        <v>216</v>
      </c>
      <c r="C202" s="33" t="s">
        <v>49</v>
      </c>
      <c r="D202" s="34" t="s">
        <v>675</v>
      </c>
      <c r="E202" s="66">
        <v>43409.0</v>
      </c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</row>
    <row r="203">
      <c r="A203" s="42" t="s">
        <v>676</v>
      </c>
      <c r="B203" s="42" t="s">
        <v>181</v>
      </c>
      <c r="C203" s="42" t="s">
        <v>30</v>
      </c>
      <c r="D203" s="43" t="s">
        <v>677</v>
      </c>
      <c r="E203" s="65">
        <v>43409.0</v>
      </c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</row>
    <row r="204">
      <c r="A204" s="33" t="s">
        <v>678</v>
      </c>
      <c r="B204" s="33" t="s">
        <v>679</v>
      </c>
      <c r="C204" s="33" t="s">
        <v>680</v>
      </c>
      <c r="D204" s="34" t="s">
        <v>681</v>
      </c>
      <c r="E204" s="66">
        <v>43409.0</v>
      </c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</row>
    <row r="205">
      <c r="A205" s="42" t="s">
        <v>113</v>
      </c>
      <c r="B205" s="42" t="s">
        <v>216</v>
      </c>
      <c r="C205" s="42" t="s">
        <v>682</v>
      </c>
      <c r="D205" s="43" t="s">
        <v>683</v>
      </c>
      <c r="E205" s="65">
        <v>43409.0</v>
      </c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</row>
    <row r="206">
      <c r="A206" s="33" t="s">
        <v>684</v>
      </c>
      <c r="B206" s="33" t="s">
        <v>216</v>
      </c>
      <c r="C206" s="33" t="s">
        <v>26</v>
      </c>
      <c r="D206" s="34" t="s">
        <v>685</v>
      </c>
      <c r="E206" s="66">
        <v>43408.0</v>
      </c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</row>
    <row r="207">
      <c r="A207" s="42" t="s">
        <v>686</v>
      </c>
      <c r="B207" s="42" t="s">
        <v>687</v>
      </c>
      <c r="C207" s="42" t="s">
        <v>273</v>
      </c>
      <c r="D207" s="43" t="s">
        <v>688</v>
      </c>
      <c r="E207" s="65">
        <v>43404.0</v>
      </c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</row>
    <row r="208">
      <c r="A208" s="33" t="s">
        <v>689</v>
      </c>
      <c r="B208" s="33" t="s">
        <v>690</v>
      </c>
      <c r="C208" s="33" t="s">
        <v>30</v>
      </c>
      <c r="D208" s="34" t="s">
        <v>691</v>
      </c>
      <c r="E208" s="66">
        <v>43403.0</v>
      </c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</row>
    <row r="209">
      <c r="A209" s="42" t="s">
        <v>689</v>
      </c>
      <c r="B209" s="42" t="s">
        <v>692</v>
      </c>
      <c r="C209" s="42" t="s">
        <v>26</v>
      </c>
      <c r="D209" s="43" t="s">
        <v>693</v>
      </c>
      <c r="E209" s="65">
        <v>43403.0</v>
      </c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</row>
    <row r="210" hidden="1">
      <c r="A210" s="33" t="s">
        <v>694</v>
      </c>
      <c r="B210" s="33" t="s">
        <v>695</v>
      </c>
      <c r="C210" s="33" t="s">
        <v>26</v>
      </c>
      <c r="D210" s="34" t="s">
        <v>696</v>
      </c>
      <c r="E210" s="66">
        <v>43395.0</v>
      </c>
      <c r="F210" s="33" t="s">
        <v>41</v>
      </c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</row>
    <row r="211">
      <c r="A211" s="42" t="s">
        <v>697</v>
      </c>
      <c r="B211" s="42" t="s">
        <v>441</v>
      </c>
      <c r="C211" s="42" t="s">
        <v>22</v>
      </c>
      <c r="D211" s="43" t="s">
        <v>698</v>
      </c>
      <c r="E211" s="65">
        <v>43389.0</v>
      </c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</row>
    <row r="212">
      <c r="A212" s="33" t="s">
        <v>464</v>
      </c>
      <c r="B212" s="67" t="s">
        <v>699</v>
      </c>
      <c r="C212" s="33" t="s">
        <v>30</v>
      </c>
      <c r="D212" s="34" t="s">
        <v>700</v>
      </c>
      <c r="E212" s="66">
        <v>43389.0</v>
      </c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</row>
    <row r="213">
      <c r="A213" s="42" t="s">
        <v>701</v>
      </c>
      <c r="B213" s="42" t="s">
        <v>216</v>
      </c>
      <c r="C213" s="42" t="s">
        <v>702</v>
      </c>
      <c r="D213" s="43" t="s">
        <v>703</v>
      </c>
      <c r="E213" s="65">
        <v>43389.0</v>
      </c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</row>
    <row r="214">
      <c r="A214" s="33" t="s">
        <v>704</v>
      </c>
      <c r="B214" s="33" t="s">
        <v>705</v>
      </c>
      <c r="C214" s="33" t="s">
        <v>706</v>
      </c>
      <c r="D214" s="34" t="s">
        <v>707</v>
      </c>
      <c r="E214" s="66">
        <v>43389.0</v>
      </c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</row>
    <row r="215">
      <c r="A215" s="42" t="s">
        <v>708</v>
      </c>
      <c r="B215" s="42" t="s">
        <v>709</v>
      </c>
      <c r="C215" s="42" t="s">
        <v>710</v>
      </c>
      <c r="D215" s="43" t="s">
        <v>711</v>
      </c>
      <c r="E215" s="65">
        <v>43389.0</v>
      </c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</row>
    <row r="216">
      <c r="A216" s="33" t="s">
        <v>712</v>
      </c>
      <c r="B216" s="33" t="s">
        <v>713</v>
      </c>
      <c r="C216" s="33" t="s">
        <v>714</v>
      </c>
      <c r="D216" s="34" t="s">
        <v>715</v>
      </c>
      <c r="E216" s="66">
        <v>43389.0</v>
      </c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</row>
    <row r="217">
      <c r="A217" s="42" t="s">
        <v>716</v>
      </c>
      <c r="B217" s="42" t="s">
        <v>717</v>
      </c>
      <c r="C217" s="42" t="s">
        <v>718</v>
      </c>
      <c r="D217" s="43" t="s">
        <v>719</v>
      </c>
      <c r="E217" s="65">
        <v>43389.0</v>
      </c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</row>
    <row r="218">
      <c r="A218" s="33" t="s">
        <v>720</v>
      </c>
      <c r="B218" s="33" t="s">
        <v>216</v>
      </c>
      <c r="C218" s="33" t="s">
        <v>22</v>
      </c>
      <c r="D218" s="34" t="s">
        <v>721</v>
      </c>
      <c r="E218" s="66">
        <v>43389.0</v>
      </c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</row>
    <row r="219">
      <c r="A219" s="42" t="s">
        <v>722</v>
      </c>
      <c r="B219" s="42" t="s">
        <v>216</v>
      </c>
      <c r="C219" s="42" t="s">
        <v>26</v>
      </c>
      <c r="D219" s="43" t="s">
        <v>723</v>
      </c>
      <c r="E219" s="65">
        <v>43389.0</v>
      </c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</row>
    <row r="220">
      <c r="A220" s="33" t="s">
        <v>724</v>
      </c>
      <c r="B220" s="33" t="s">
        <v>725</v>
      </c>
      <c r="C220" s="33" t="s">
        <v>14</v>
      </c>
      <c r="D220" s="34" t="s">
        <v>726</v>
      </c>
      <c r="E220" s="66">
        <v>43389.0</v>
      </c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</row>
    <row r="221">
      <c r="A221" s="42" t="s">
        <v>727</v>
      </c>
      <c r="B221" s="42" t="s">
        <v>216</v>
      </c>
      <c r="C221" s="42" t="s">
        <v>728</v>
      </c>
      <c r="D221" s="43" t="s">
        <v>729</v>
      </c>
      <c r="E221" s="65">
        <v>43389.0</v>
      </c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</row>
    <row r="222">
      <c r="A222" s="33" t="s">
        <v>727</v>
      </c>
      <c r="B222" s="33" t="s">
        <v>730</v>
      </c>
      <c r="C222" s="33" t="s">
        <v>728</v>
      </c>
      <c r="D222" s="34" t="s">
        <v>731</v>
      </c>
      <c r="E222" s="66">
        <v>43389.0</v>
      </c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</row>
    <row r="223">
      <c r="A223" s="42" t="s">
        <v>732</v>
      </c>
      <c r="B223" s="68" t="s">
        <v>733</v>
      </c>
      <c r="C223" s="42" t="s">
        <v>30</v>
      </c>
      <c r="D223" s="43" t="s">
        <v>734</v>
      </c>
      <c r="E223" s="65">
        <v>43389.0</v>
      </c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</row>
    <row r="224">
      <c r="A224" s="33" t="s">
        <v>735</v>
      </c>
      <c r="B224" s="33" t="s">
        <v>736</v>
      </c>
      <c r="C224" s="33" t="s">
        <v>22</v>
      </c>
      <c r="D224" s="34" t="s">
        <v>737</v>
      </c>
      <c r="E224" s="66">
        <v>43389.0</v>
      </c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</row>
    <row r="225">
      <c r="A225" s="42" t="s">
        <v>738</v>
      </c>
      <c r="B225" s="42" t="s">
        <v>739</v>
      </c>
      <c r="C225" s="42" t="s">
        <v>740</v>
      </c>
      <c r="D225" s="43" t="s">
        <v>741</v>
      </c>
      <c r="E225" s="65">
        <v>43389.0</v>
      </c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</row>
    <row r="226">
      <c r="A226" s="33" t="s">
        <v>742</v>
      </c>
      <c r="B226" s="33" t="s">
        <v>216</v>
      </c>
      <c r="C226" s="33" t="s">
        <v>273</v>
      </c>
      <c r="D226" s="34" t="s">
        <v>743</v>
      </c>
      <c r="E226" s="66">
        <v>43389.0</v>
      </c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</row>
    <row r="227">
      <c r="A227" s="42" t="s">
        <v>744</v>
      </c>
      <c r="B227" s="42" t="s">
        <v>745</v>
      </c>
      <c r="C227" s="42" t="s">
        <v>30</v>
      </c>
      <c r="D227" s="43" t="s">
        <v>746</v>
      </c>
      <c r="E227" s="65">
        <v>43389.0</v>
      </c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</row>
    <row r="228" hidden="1">
      <c r="A228" s="33" t="s">
        <v>747</v>
      </c>
      <c r="B228" s="33" t="s">
        <v>748</v>
      </c>
      <c r="C228" s="33" t="s">
        <v>22</v>
      </c>
      <c r="D228" s="34" t="s">
        <v>749</v>
      </c>
      <c r="E228" s="66">
        <v>43389.0</v>
      </c>
      <c r="F228" s="33" t="s">
        <v>41</v>
      </c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</row>
    <row r="229">
      <c r="A229" s="42" t="s">
        <v>744</v>
      </c>
      <c r="B229" s="42" t="s">
        <v>750</v>
      </c>
      <c r="C229" s="42" t="s">
        <v>26</v>
      </c>
      <c r="D229" s="43" t="s">
        <v>751</v>
      </c>
      <c r="E229" s="65">
        <v>43389.0</v>
      </c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</row>
    <row r="230">
      <c r="A230" s="33" t="s">
        <v>744</v>
      </c>
      <c r="B230" s="33" t="s">
        <v>752</v>
      </c>
      <c r="C230" s="33" t="s">
        <v>753</v>
      </c>
      <c r="D230" s="34" t="s">
        <v>754</v>
      </c>
      <c r="E230" s="66">
        <v>43389.0</v>
      </c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</row>
    <row r="231">
      <c r="A231" s="42" t="s">
        <v>755</v>
      </c>
      <c r="B231" s="42" t="s">
        <v>756</v>
      </c>
      <c r="C231" s="42" t="s">
        <v>22</v>
      </c>
      <c r="D231" s="43" t="s">
        <v>757</v>
      </c>
      <c r="E231" s="65">
        <v>43389.0</v>
      </c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</row>
    <row r="232">
      <c r="A232" s="33" t="s">
        <v>758</v>
      </c>
      <c r="B232" s="33" t="s">
        <v>759</v>
      </c>
      <c r="C232" s="33" t="s">
        <v>760</v>
      </c>
      <c r="D232" s="34" t="s">
        <v>761</v>
      </c>
      <c r="E232" s="66">
        <v>43389.0</v>
      </c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</row>
    <row r="233">
      <c r="A233" s="42" t="s">
        <v>189</v>
      </c>
      <c r="B233" s="42" t="s">
        <v>762</v>
      </c>
      <c r="C233" s="42" t="s">
        <v>763</v>
      </c>
      <c r="D233" s="43" t="s">
        <v>764</v>
      </c>
      <c r="E233" s="65">
        <v>43388.0</v>
      </c>
      <c r="F233" s="42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</row>
    <row r="234">
      <c r="A234" s="33" t="s">
        <v>765</v>
      </c>
      <c r="B234" s="33" t="s">
        <v>181</v>
      </c>
      <c r="C234" s="33" t="s">
        <v>26</v>
      </c>
      <c r="D234" s="34" t="s">
        <v>766</v>
      </c>
      <c r="E234" s="66">
        <v>43388.0</v>
      </c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</row>
    <row r="235">
      <c r="A235" s="42" t="s">
        <v>222</v>
      </c>
      <c r="B235" s="42" t="s">
        <v>216</v>
      </c>
      <c r="C235" s="42" t="s">
        <v>114</v>
      </c>
      <c r="D235" s="43" t="s">
        <v>767</v>
      </c>
      <c r="E235" s="65">
        <v>43388.0</v>
      </c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</row>
    <row r="236">
      <c r="A236" s="33" t="s">
        <v>768</v>
      </c>
      <c r="B236" s="33" t="s">
        <v>216</v>
      </c>
      <c r="C236" s="33" t="s">
        <v>26</v>
      </c>
      <c r="D236" s="34" t="s">
        <v>769</v>
      </c>
      <c r="E236" s="66">
        <v>43388.0</v>
      </c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</row>
    <row r="237">
      <c r="A237" s="42" t="s">
        <v>361</v>
      </c>
      <c r="B237" s="42" t="s">
        <v>181</v>
      </c>
      <c r="C237" s="42" t="s">
        <v>770</v>
      </c>
      <c r="D237" s="43" t="s">
        <v>771</v>
      </c>
      <c r="E237" s="65">
        <v>43388.0</v>
      </c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</row>
    <row r="238">
      <c r="A238" s="33" t="s">
        <v>352</v>
      </c>
      <c r="B238" s="33" t="s">
        <v>772</v>
      </c>
      <c r="C238" s="33" t="s">
        <v>26</v>
      </c>
      <c r="D238" s="34" t="s">
        <v>773</v>
      </c>
      <c r="E238" s="66">
        <v>43388.0</v>
      </c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</row>
    <row r="239">
      <c r="A239" s="42" t="s">
        <v>774</v>
      </c>
      <c r="B239" s="42" t="s">
        <v>775</v>
      </c>
      <c r="C239" s="42" t="s">
        <v>400</v>
      </c>
      <c r="D239" s="43" t="s">
        <v>776</v>
      </c>
      <c r="E239" s="65">
        <v>43383.0</v>
      </c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</row>
    <row r="240">
      <c r="A240" s="33" t="s">
        <v>366</v>
      </c>
      <c r="B240" s="33" t="s">
        <v>367</v>
      </c>
      <c r="C240" s="33" t="s">
        <v>30</v>
      </c>
      <c r="D240" s="34" t="s">
        <v>777</v>
      </c>
      <c r="E240" s="66">
        <v>43383.0</v>
      </c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</row>
    <row r="241">
      <c r="A241" s="42" t="s">
        <v>778</v>
      </c>
      <c r="B241" s="42" t="s">
        <v>209</v>
      </c>
      <c r="C241" s="42" t="s">
        <v>779</v>
      </c>
      <c r="D241" s="43" t="s">
        <v>780</v>
      </c>
      <c r="E241" s="65">
        <v>43383.0</v>
      </c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>
      <c r="A242" s="33" t="s">
        <v>781</v>
      </c>
      <c r="B242" s="33" t="s">
        <v>782</v>
      </c>
      <c r="C242" s="33" t="s">
        <v>26</v>
      </c>
      <c r="D242" s="34" t="s">
        <v>783</v>
      </c>
      <c r="E242" s="66">
        <v>43382.0</v>
      </c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</row>
    <row r="243">
      <c r="A243" s="42" t="s">
        <v>34</v>
      </c>
      <c r="B243" s="42" t="s">
        <v>92</v>
      </c>
      <c r="C243" s="42" t="s">
        <v>92</v>
      </c>
      <c r="D243" s="43" t="s">
        <v>784</v>
      </c>
      <c r="E243" s="65">
        <v>43382.0</v>
      </c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>
      <c r="A244" s="33" t="s">
        <v>88</v>
      </c>
      <c r="B244" s="33" t="s">
        <v>240</v>
      </c>
      <c r="C244" s="33" t="s">
        <v>30</v>
      </c>
      <c r="D244" s="34" t="s">
        <v>785</v>
      </c>
      <c r="E244" s="66">
        <v>43378.0</v>
      </c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</row>
    <row r="245">
      <c r="A245" s="42" t="s">
        <v>786</v>
      </c>
      <c r="B245" s="42" t="s">
        <v>236</v>
      </c>
      <c r="C245" s="42" t="s">
        <v>787</v>
      </c>
      <c r="D245" s="43" t="s">
        <v>788</v>
      </c>
      <c r="E245" s="65">
        <v>43369.0</v>
      </c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>
      <c r="A246" s="33" t="s">
        <v>789</v>
      </c>
      <c r="B246" s="33" t="s">
        <v>790</v>
      </c>
      <c r="C246" s="33" t="s">
        <v>26</v>
      </c>
      <c r="D246" s="34" t="s">
        <v>791</v>
      </c>
      <c r="E246" s="66">
        <v>43369.0</v>
      </c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</row>
    <row r="247" hidden="1">
      <c r="A247" s="42" t="s">
        <v>352</v>
      </c>
      <c r="B247" s="42" t="s">
        <v>792</v>
      </c>
      <c r="C247" s="42" t="s">
        <v>26</v>
      </c>
      <c r="D247" s="43" t="s">
        <v>793</v>
      </c>
      <c r="E247" s="65">
        <v>43369.0</v>
      </c>
      <c r="F247" s="42" t="s">
        <v>794</v>
      </c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>
      <c r="A248" s="33" t="s">
        <v>795</v>
      </c>
      <c r="B248" s="33" t="s">
        <v>796</v>
      </c>
      <c r="C248" s="33" t="s">
        <v>763</v>
      </c>
      <c r="D248" s="34" t="s">
        <v>797</v>
      </c>
      <c r="E248" s="66">
        <v>43369.0</v>
      </c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</row>
    <row r="249">
      <c r="A249" s="42" t="s">
        <v>798</v>
      </c>
      <c r="B249" s="42" t="s">
        <v>236</v>
      </c>
      <c r="C249" s="42" t="s">
        <v>799</v>
      </c>
      <c r="D249" s="43" t="s">
        <v>800</v>
      </c>
      <c r="E249" s="65">
        <v>43369.0</v>
      </c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 hidden="1">
      <c r="A250" s="33" t="s">
        <v>532</v>
      </c>
      <c r="B250" s="33" t="s">
        <v>236</v>
      </c>
      <c r="C250" s="33" t="s">
        <v>142</v>
      </c>
      <c r="D250" s="34" t="s">
        <v>533</v>
      </c>
      <c r="E250" s="66">
        <v>43369.0</v>
      </c>
      <c r="F250" s="33" t="s">
        <v>41</v>
      </c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</row>
    <row r="251" hidden="1">
      <c r="A251" s="42" t="s">
        <v>678</v>
      </c>
      <c r="B251" s="42" t="s">
        <v>801</v>
      </c>
      <c r="C251" s="42" t="s">
        <v>680</v>
      </c>
      <c r="D251" s="43" t="s">
        <v>802</v>
      </c>
      <c r="E251" s="65">
        <v>43369.0</v>
      </c>
      <c r="F251" s="42" t="s">
        <v>41</v>
      </c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>
      <c r="A252" s="33" t="s">
        <v>803</v>
      </c>
      <c r="B252" s="33" t="s">
        <v>236</v>
      </c>
      <c r="C252" s="33" t="s">
        <v>30</v>
      </c>
      <c r="D252" s="34" t="s">
        <v>804</v>
      </c>
      <c r="E252" s="66">
        <v>43369.0</v>
      </c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</row>
    <row r="253">
      <c r="A253" s="45"/>
      <c r="B253" s="45"/>
      <c r="C253" s="42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</row>
    <row r="254">
      <c r="A254" s="33"/>
      <c r="B254" s="33"/>
      <c r="C254" s="33"/>
      <c r="D254" s="33"/>
      <c r="E254" s="56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</row>
    <row r="255">
      <c r="A255" s="42"/>
      <c r="B255" s="42"/>
      <c r="C255" s="42"/>
      <c r="D255" s="42"/>
      <c r="E255" s="57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</row>
    <row r="256">
      <c r="A256" s="33"/>
      <c r="B256" s="33"/>
      <c r="C256" s="33"/>
      <c r="D256" s="33"/>
      <c r="E256" s="56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</row>
    <row r="257">
      <c r="A257" s="42"/>
      <c r="B257" s="42"/>
      <c r="C257" s="42"/>
      <c r="D257" s="42"/>
      <c r="E257" s="57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</row>
    <row r="258">
      <c r="A258" s="33"/>
      <c r="B258" s="33"/>
      <c r="C258" s="33"/>
      <c r="D258" s="33"/>
      <c r="E258" s="56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</row>
    <row r="259">
      <c r="A259" s="42"/>
      <c r="B259" s="42"/>
      <c r="C259" s="42"/>
      <c r="D259" s="42"/>
      <c r="E259" s="57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</row>
  </sheetData>
  <autoFilter ref="$A$1:$F$252">
    <filterColumn colId="5">
      <filters blank="1">
        <filter val="expired"/>
      </filters>
    </filterColumn>
    <sortState ref="A1:F252">
      <sortCondition descending="1" ref="E1:E252"/>
      <sortCondition ref="A1:A252"/>
      <sortCondition descending="1" ref="C1:C252"/>
    </sortState>
  </autoFilter>
  <customSheetViews>
    <customSheetView guid="{D3BFD17A-BAF7-4CF8-B6D6-E496528C2A74}" filter="1" showAutoFilter="1">
      <autoFilter ref="$A$1:$F$258"/>
    </customSheetView>
    <customSheetView guid="{FD473D5F-F83B-4249-B2D8-59291FC71375}" filter="1" showAutoFilter="1">
      <autoFilter ref="$C$1:$C$1007"/>
    </customSheetView>
    <customSheetView guid="{34C084B8-0CFF-419C-9A91-E91A33EBA9DD}" filter="1" showAutoFilter="1">
      <autoFilter ref="$A$1:$F$252">
        <filterColumn colId="0">
          <filters>
            <filter val="OfferUp"/>
            <filter val="Lyft"/>
            <filter val="Google"/>
            <filter val="Square"/>
            <filter val="NerdWallet"/>
            <filter val="Shopify"/>
            <filter val="Disney"/>
            <filter val="Asana"/>
            <filter val="Spotify"/>
            <filter val="Ebay"/>
            <filter val="Convoy"/>
            <filter val="Facebook"/>
            <filter val="Twitter"/>
            <filter val="Airbnb"/>
            <filter val="Snap"/>
            <filter val="Zoom"/>
            <filter val="Apple"/>
          </filters>
        </filterColumn>
      </autoFilter>
    </customSheetView>
    <customSheetView guid="{2E44F463-12BB-4354-BBD1-C134BC689D04}" filter="1" showAutoFilter="1">
      <autoFilter ref="$A$1:$F$252">
        <filterColumn colId="2">
          <filters>
            <filter val="Santa Monica, CA"/>
            <filter val="Berlin"/>
            <filter val="Boston, MA"/>
            <filter val="NYC"/>
            <filter val="NYC and Boston area"/>
          </filters>
        </filterColumn>
      </autoFilter>
    </customSheetView>
    <customSheetView guid="{016D0142-8AB2-4ABD-892E-040B4397802A}" filter="1" showAutoFilter="1">
      <autoFilter ref="$A$1:$AC$252"/>
    </customSheetView>
  </customSheetViews>
  <hyperlinks>
    <hyperlink r:id="rId1" ref="D2"/>
    <hyperlink r:id="rId2" ref="D3"/>
    <hyperlink r:id="rId3" ref="D4"/>
    <hyperlink r:id="rId4" ref="D5"/>
    <hyperlink r:id="rId5" ref="D6"/>
    <hyperlink r:id="rId6" ref="A7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A36"/>
    <hyperlink r:id="rId37" ref="D36"/>
    <hyperlink r:id="rId38" ref="A37"/>
    <hyperlink r:id="rId39" ref="D37"/>
    <hyperlink r:id="rId40" ref="D38"/>
    <hyperlink r:id="rId41" ref="D39"/>
    <hyperlink r:id="rId42" ref="D40"/>
    <hyperlink r:id="rId43" ref="D41"/>
    <hyperlink r:id="rId44" ref="D42"/>
    <hyperlink r:id="rId45" ref="D43"/>
    <hyperlink r:id="rId46" ref="D44"/>
    <hyperlink r:id="rId47" ref="D45"/>
    <hyperlink r:id="rId48" ref="D46"/>
    <hyperlink r:id="rId49" ref="D47"/>
    <hyperlink r:id="rId50" ref="D48"/>
    <hyperlink r:id="rId51" ref="D49"/>
    <hyperlink r:id="rId52" ref="D50"/>
    <hyperlink r:id="rId53" ref="D51"/>
    <hyperlink r:id="rId54" ref="D52"/>
    <hyperlink r:id="rId55" ref="D53"/>
    <hyperlink r:id="rId56" ref="D54"/>
    <hyperlink r:id="rId57" ref="D55"/>
    <hyperlink r:id="rId58" ref="D56"/>
    <hyperlink r:id="rId59" ref="D57"/>
    <hyperlink r:id="rId60" ref="D58"/>
    <hyperlink r:id="rId61" ref="D59"/>
    <hyperlink r:id="rId62" ref="D60"/>
    <hyperlink r:id="rId63" ref="D61"/>
    <hyperlink r:id="rId64" ref="D62"/>
    <hyperlink r:id="rId65" ref="D63"/>
    <hyperlink r:id="rId66" ref="D64"/>
    <hyperlink r:id="rId67" ref="D65"/>
    <hyperlink r:id="rId68" ref="D66"/>
    <hyperlink r:id="rId69" ref="D67"/>
    <hyperlink r:id="rId70" ref="D68"/>
    <hyperlink r:id="rId71" ref="D69"/>
    <hyperlink r:id="rId72" ref="D70"/>
    <hyperlink r:id="rId73" ref="D71"/>
    <hyperlink r:id="rId74" ref="D72"/>
    <hyperlink r:id="rId75" ref="D73"/>
    <hyperlink r:id="rId76" ref="D74"/>
    <hyperlink r:id="rId77" ref="D75"/>
    <hyperlink r:id="rId78" ref="D76"/>
    <hyperlink r:id="rId79" ref="D77"/>
    <hyperlink r:id="rId80" ref="D78"/>
    <hyperlink r:id="rId81" ref="D79"/>
    <hyperlink r:id="rId82" ref="D80"/>
    <hyperlink r:id="rId83" ref="D81"/>
    <hyperlink r:id="rId84" ref="D82"/>
    <hyperlink r:id="rId85" location="3c06c2ce-877c-4919-a384-091470d95fc3" ref="D83"/>
    <hyperlink r:id="rId86" location="c458a666-4e11-4e1f-a489-dd3b9ef7fa6c" ref="D84"/>
    <hyperlink r:id="rId87" location="c0bd2f8a-7809-4f63-9d22-1d0135d1b83d" ref="D85"/>
    <hyperlink r:id="rId88" ref="D86"/>
    <hyperlink r:id="rId89" ref="D87"/>
    <hyperlink r:id="rId90" ref="D88"/>
    <hyperlink r:id="rId91" ref="D89"/>
    <hyperlink r:id="rId92" ref="D90"/>
    <hyperlink r:id="rId93" ref="D91"/>
    <hyperlink r:id="rId94" ref="D92"/>
    <hyperlink r:id="rId95" ref="D93"/>
    <hyperlink r:id="rId96" ref="D94"/>
    <hyperlink r:id="rId97" ref="D95"/>
    <hyperlink r:id="rId98" ref="D96"/>
    <hyperlink r:id="rId99" ref="D97"/>
    <hyperlink r:id="rId100" ref="D98"/>
    <hyperlink r:id="rId101" ref="D99"/>
    <hyperlink r:id="rId102" ref="D100"/>
    <hyperlink r:id="rId103" ref="D101"/>
    <hyperlink r:id="rId104" ref="D102"/>
    <hyperlink r:id="rId105" ref="D103"/>
    <hyperlink r:id="rId106" ref="D104"/>
    <hyperlink r:id="rId107" ref="D105"/>
    <hyperlink r:id="rId108" ref="D106"/>
    <hyperlink r:id="rId109" ref="D107"/>
    <hyperlink r:id="rId110" ref="D108"/>
    <hyperlink r:id="rId111" ref="D109"/>
    <hyperlink r:id="rId112" ref="D110"/>
    <hyperlink r:id="rId113" ref="D111"/>
    <hyperlink r:id="rId114" ref="D112"/>
    <hyperlink r:id="rId115" ref="D113"/>
    <hyperlink r:id="rId116" ref="D114"/>
    <hyperlink r:id="rId117" ref="D115"/>
    <hyperlink r:id="rId118" ref="D116"/>
    <hyperlink r:id="rId119" ref="D117"/>
    <hyperlink r:id="rId120" ref="D118"/>
    <hyperlink r:id="rId121" ref="D119"/>
    <hyperlink r:id="rId122" ref="D120"/>
    <hyperlink r:id="rId123" ref="D121"/>
    <hyperlink r:id="rId124" ref="D122"/>
    <hyperlink r:id="rId125" ref="D123"/>
    <hyperlink r:id="rId126" ref="D124"/>
    <hyperlink r:id="rId127" ref="D125"/>
    <hyperlink r:id="rId128" ref="D126"/>
    <hyperlink r:id="rId129" ref="D127"/>
    <hyperlink r:id="rId130" ref="D128"/>
    <hyperlink r:id="rId131" ref="D129"/>
    <hyperlink r:id="rId132" ref="D130"/>
    <hyperlink r:id="rId133" ref="D131"/>
    <hyperlink r:id="rId134" ref="D132"/>
    <hyperlink r:id="rId135" ref="D133"/>
    <hyperlink r:id="rId136" ref="D134"/>
    <hyperlink r:id="rId137" ref="D135"/>
    <hyperlink r:id="rId138" ref="D136"/>
    <hyperlink r:id="rId139" ref="D137"/>
    <hyperlink r:id="rId140" ref="D138"/>
    <hyperlink r:id="rId141" ref="D139"/>
    <hyperlink r:id="rId142" ref="D140"/>
    <hyperlink r:id="rId143" ref="D141"/>
    <hyperlink r:id="rId144" ref="D142"/>
    <hyperlink r:id="rId145" ref="D143"/>
    <hyperlink r:id="rId146" ref="D144"/>
    <hyperlink r:id="rId147" ref="D145"/>
    <hyperlink r:id="rId148" ref="D146"/>
    <hyperlink r:id="rId149" ref="D147"/>
    <hyperlink r:id="rId150" ref="D148"/>
    <hyperlink r:id="rId151" ref="D149"/>
    <hyperlink r:id="rId152" ref="D150"/>
    <hyperlink r:id="rId153" ref="D151"/>
    <hyperlink r:id="rId154" ref="D152"/>
    <hyperlink r:id="rId155" ref="D153"/>
    <hyperlink r:id="rId156" ref="D154"/>
    <hyperlink r:id="rId157" ref="D155"/>
    <hyperlink r:id="rId158" ref="D156"/>
    <hyperlink r:id="rId159" ref="D157"/>
    <hyperlink r:id="rId160" ref="D158"/>
    <hyperlink r:id="rId161" ref="D159"/>
    <hyperlink r:id="rId162" ref="D160"/>
    <hyperlink r:id="rId163" ref="D161"/>
    <hyperlink r:id="rId164" ref="D162"/>
    <hyperlink r:id="rId165" ref="D163"/>
    <hyperlink r:id="rId166" ref="D164"/>
    <hyperlink r:id="rId167" ref="D165"/>
    <hyperlink r:id="rId168" ref="D166"/>
    <hyperlink r:id="rId169" ref="D167"/>
    <hyperlink r:id="rId170" ref="D168"/>
    <hyperlink r:id="rId171" ref="D169"/>
    <hyperlink r:id="rId172" ref="D170"/>
    <hyperlink r:id="rId173" ref="D171"/>
    <hyperlink r:id="rId174" ref="D172"/>
    <hyperlink r:id="rId175" ref="D173"/>
    <hyperlink r:id="rId176" ref="D174"/>
    <hyperlink r:id="rId177" ref="D175"/>
    <hyperlink r:id="rId178" ref="D176"/>
    <hyperlink r:id="rId179" ref="D177"/>
    <hyperlink r:id="rId180" ref="D178"/>
    <hyperlink r:id="rId181" ref="D179"/>
    <hyperlink r:id="rId182" ref="D180"/>
    <hyperlink r:id="rId183" ref="D181"/>
    <hyperlink r:id="rId184" ref="D182"/>
    <hyperlink r:id="rId185" ref="D183"/>
    <hyperlink r:id="rId186" ref="D184"/>
    <hyperlink r:id="rId187" ref="D185"/>
    <hyperlink r:id="rId188" ref="D186"/>
    <hyperlink r:id="rId189" ref="D187"/>
    <hyperlink r:id="rId190" ref="D188"/>
    <hyperlink r:id="rId191" ref="D189"/>
    <hyperlink r:id="rId192" ref="D190"/>
    <hyperlink r:id="rId193" ref="D191"/>
    <hyperlink r:id="rId194" ref="D192"/>
    <hyperlink r:id="rId195" ref="D193"/>
    <hyperlink r:id="rId196" ref="D194"/>
    <hyperlink r:id="rId197" ref="D195"/>
    <hyperlink r:id="rId198" ref="D196"/>
    <hyperlink r:id="rId199" ref="D197"/>
    <hyperlink r:id="rId200" ref="D198"/>
    <hyperlink r:id="rId201" ref="D199"/>
    <hyperlink r:id="rId202" ref="D200"/>
    <hyperlink r:id="rId203" ref="D201"/>
    <hyperlink r:id="rId204" ref="D202"/>
    <hyperlink r:id="rId205" ref="D203"/>
    <hyperlink r:id="rId206" ref="D204"/>
    <hyperlink r:id="rId207" ref="D205"/>
    <hyperlink r:id="rId208" ref="D206"/>
    <hyperlink r:id="rId209" ref="D207"/>
    <hyperlink r:id="rId210" ref="D208"/>
    <hyperlink r:id="rId211" ref="D209"/>
    <hyperlink r:id="rId212" ref="D210"/>
    <hyperlink r:id="rId213" ref="D211"/>
    <hyperlink r:id="rId214" ref="D212"/>
    <hyperlink r:id="rId215" ref="D213"/>
    <hyperlink r:id="rId216" location="jobDetails=416135_5186" ref="D214"/>
    <hyperlink r:id="rId217" ref="D215"/>
    <hyperlink r:id="rId218" ref="D216"/>
    <hyperlink r:id="rId219" ref="D217"/>
    <hyperlink r:id="rId220" ref="D218"/>
    <hyperlink r:id="rId221" ref="D219"/>
    <hyperlink r:id="rId222" location="jobDetails=1477882_5130" ref="D220"/>
    <hyperlink r:id="rId223" ref="D221"/>
    <hyperlink r:id="rId224" ref="D222"/>
    <hyperlink r:id="rId225" ref="D223"/>
    <hyperlink r:id="rId226" ref="D224"/>
    <hyperlink r:id="rId227" ref="D225"/>
    <hyperlink r:id="rId228" ref="D226"/>
    <hyperlink r:id="rId229" ref="D227"/>
    <hyperlink r:id="rId230" ref="D228"/>
    <hyperlink r:id="rId231" ref="D229"/>
    <hyperlink r:id="rId232" ref="D230"/>
    <hyperlink r:id="rId233" ref="D231"/>
    <hyperlink r:id="rId234" ref="D232"/>
    <hyperlink r:id="rId235" ref="D233"/>
    <hyperlink r:id="rId236" ref="D234"/>
    <hyperlink r:id="rId237" ref="D235"/>
    <hyperlink r:id="rId238" ref="D236"/>
    <hyperlink r:id="rId239" location="/" ref="D237"/>
    <hyperlink r:id="rId240" ref="D238"/>
    <hyperlink r:id="rId241" ref="D239"/>
    <hyperlink r:id="rId242" ref="D240"/>
    <hyperlink r:id="rId243" ref="D241"/>
    <hyperlink r:id="rId244" ref="D242"/>
    <hyperlink r:id="rId245" ref="D243"/>
    <hyperlink r:id="rId246" ref="D244"/>
    <hyperlink r:id="rId247" ref="D245"/>
    <hyperlink r:id="rId248" ref="D246"/>
    <hyperlink r:id="rId249" ref="D247"/>
    <hyperlink r:id="rId250" ref="D248"/>
    <hyperlink r:id="rId251" ref="D249"/>
    <hyperlink r:id="rId252" ref="D250"/>
    <hyperlink r:id="rId253" ref="D251"/>
    <hyperlink r:id="rId254" ref="D252"/>
  </hyperlinks>
  <drawing r:id="rId255"/>
</worksheet>
</file>