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lcome!" sheetId="1" r:id="rId4"/>
    <sheet state="visible" name="Product Management Interview Pl" sheetId="2" r:id="rId5"/>
  </sheets>
  <definedNames/>
  <calcPr/>
</workbook>
</file>

<file path=xl/sharedStrings.xml><?xml version="1.0" encoding="utf-8"?>
<sst xmlns="http://schemas.openxmlformats.org/spreadsheetml/2006/main" count="200" uniqueCount="173">
  <si>
    <r>
      <rPr>
        <rFont val="Lato"/>
        <b/>
        <sz val="14.0"/>
      </rPr>
      <t xml:space="preserve">Welcome to Lewis C. Lin's 2 Week Product Management Interview Preparation Plan.
</t>
    </r>
    <r>
      <rPr>
        <rFont val="Lato"/>
        <b/>
        <color rgb="FF999999"/>
        <sz val="14.0"/>
      </rPr>
      <t xml:space="preserve">Provided by </t>
    </r>
    <r>
      <rPr>
        <rFont val="Lato"/>
        <b/>
        <i/>
        <color rgb="FF999999"/>
        <sz val="14.0"/>
      </rPr>
      <t>Decode and Conquer + The Product Manager Interview</t>
    </r>
    <r>
      <rPr>
        <rFont val="Lato"/>
        <b/>
        <color rgb="FF999999"/>
        <sz val="14.0"/>
      </rPr>
      <t xml:space="preserve">.
</t>
    </r>
    <r>
      <rPr>
        <rFont val="Lato"/>
        <b/>
        <sz val="14.0"/>
      </rPr>
      <t xml:space="preserve">
Use this resource to get ready for your upcoming PM interviews.</t>
    </r>
  </si>
  <si>
    <t>bit.ly/PMPrepPlan</t>
  </si>
  <si>
    <t>Step One</t>
  </si>
  <si>
    <t>Step Two</t>
  </si>
  <si>
    <t>Step Three</t>
  </si>
  <si>
    <t>Adjust deadlines, minutes to study and minutes studied (purple items), based on your own situation.</t>
  </si>
  <si>
    <t>Step Four</t>
  </si>
  <si>
    <t>Other Relevant Guides to Check Out</t>
  </si>
  <si>
    <t>Task Item</t>
  </si>
  <si>
    <t>Topic</t>
  </si>
  <si>
    <t>Resource</t>
  </si>
  <si>
    <t>Deadline</t>
  </si>
  <si>
    <t>Minutes to study</t>
  </si>
  <si>
    <t>Minutes studied</t>
  </si>
  <si>
    <t>% Complete</t>
  </si>
  <si>
    <t>Product Design Questions</t>
  </si>
  <si>
    <t xml:space="preserve">  Practice brainstorming</t>
  </si>
  <si>
    <t>Thinkertoys / SCAMPER brainstorming framework</t>
  </si>
  <si>
    <t xml:space="preserve">    Define a list of 10 problems. Brainstorm 10 solutions to each problem without any time constraints.</t>
  </si>
  <si>
    <t xml:space="preserve">    Define a list of 10 problems. Brainstorm 10 solutions to each problem. This time, apply a 60-90 second time constraint.</t>
  </si>
  <si>
    <t xml:space="preserve">  Practice customer empathy</t>
  </si>
  <si>
    <t xml:space="preserve">    Define a list of customer problems. Practice *ranting* on why that problem is terrible.</t>
  </si>
  <si>
    <t xml:space="preserve">  Lead the end-to-end product design discussion using CIRCLES Method™</t>
  </si>
  <si>
    <t>Decode and Conquer</t>
  </si>
  <si>
    <t xml:space="preserve">    Practice 10 questions leading the end to end discussion</t>
  </si>
  <si>
    <t xml:space="preserve">  Build UX vocabulary by reviewing common design patterns for web and mobile</t>
  </si>
  <si>
    <t>Web UI Design Patterns &amp; Mobile UI Design Patterns</t>
  </si>
  <si>
    <t xml:space="preserve">  Practice wireframing</t>
  </si>
  <si>
    <t>Guide to Wireframing</t>
  </si>
  <si>
    <t>Metrics Questions</t>
  </si>
  <si>
    <t xml:space="preserve">  Pick 3-5 products</t>
  </si>
  <si>
    <t xml:space="preserve">    Brainstorm top metrics for each one of those products</t>
  </si>
  <si>
    <t>Decode and Conquer, AARM Method™</t>
  </si>
  <si>
    <t xml:space="preserve">    Explain which metric is the most important, starting with a balanced pros and cons table</t>
  </si>
  <si>
    <t>Decode and Conquer, Metrics Section</t>
  </si>
  <si>
    <t xml:space="preserve">    Discuss one potential feature for each product and explain why you should ship / no-ship</t>
  </si>
  <si>
    <t>Estimation Questions</t>
  </si>
  <si>
    <t xml:space="preserve">  Read chapter 3: Assumptions</t>
  </si>
  <si>
    <t>Interview Math, Starting from Page 17</t>
  </si>
  <si>
    <t xml:space="preserve">  Complete the following exercise problems</t>
  </si>
  <si>
    <t xml:space="preserve">    BMW Dealerships</t>
  </si>
  <si>
    <t>Interview Math, Page 22</t>
  </si>
  <si>
    <t xml:space="preserve">    Airports</t>
  </si>
  <si>
    <t>Interview Math, Page 24</t>
  </si>
  <si>
    <t xml:space="preserve">  Read chapter 4: Estimation</t>
  </si>
  <si>
    <t>Interview Math, Starting from Page 26</t>
  </si>
  <si>
    <t xml:space="preserve">    Chinese Diaper Market</t>
  </si>
  <si>
    <t>Interview Math, Page 32</t>
  </si>
  <si>
    <t xml:space="preserve">    Women's Rain Boot Market</t>
  </si>
  <si>
    <t>Interview Math, Page 34</t>
  </si>
  <si>
    <t xml:space="preserve">    TV Ads</t>
  </si>
  <si>
    <t>Interview Math, Page 51</t>
  </si>
  <si>
    <t xml:space="preserve">    Subway's Sales</t>
  </si>
  <si>
    <t>Interview Math, Page 56</t>
  </si>
  <si>
    <t xml:space="preserve">    Netflix Subscription Sales</t>
  </si>
  <si>
    <t>Interview Math, Page 64</t>
  </si>
  <si>
    <t>Lifetime Value Questions</t>
  </si>
  <si>
    <t xml:space="preserve">  Read chapter 8: Lifetime Value</t>
  </si>
  <si>
    <t>Interview Math, Starting from Page 143</t>
  </si>
  <si>
    <t xml:space="preserve">    Starbucks' Lifetime Value</t>
  </si>
  <si>
    <t>Interview Math, Page 145</t>
  </si>
  <si>
    <t xml:space="preserve">    AT&amp;T New iPhone Promotion</t>
  </si>
  <si>
    <t>Interview Math, Page 147</t>
  </si>
  <si>
    <t xml:space="preserve">    New York Times Website</t>
  </si>
  <si>
    <t>Interview Math, Page 157</t>
  </si>
  <si>
    <t>Behavioral Questions</t>
  </si>
  <si>
    <t xml:space="preserve">  Read Winning the Behavioral Interview</t>
  </si>
  <si>
    <t>Decode &amp; Conquer, Page 193-202</t>
  </si>
  <si>
    <t xml:space="preserve">  Write down responses for Common Behavioral Interview Questions</t>
  </si>
  <si>
    <t>Decode &amp; Conquer, Page 193; Stories Sheet: https://www.lewis-lin.com/blog/2018/6/13/lewis-c-lins-amazon-interview-spreadsheet</t>
  </si>
  <si>
    <t xml:space="preserve">    Minimum stories: 5</t>
  </si>
  <si>
    <t xml:space="preserve">    Include your written responses to "Tell me about yourself" and "Why do you want to work for this company?"</t>
  </si>
  <si>
    <t xml:space="preserve">  Verbally rehearse written responses</t>
  </si>
  <si>
    <t>Technical</t>
  </si>
  <si>
    <t xml:space="preserve">  Read How to Approach a Technical Question</t>
  </si>
  <si>
    <t>Decode &amp; Conquer, Page 88</t>
  </si>
  <si>
    <t xml:space="preserve">  Review Big O notation</t>
  </si>
  <si>
    <t>Wikipedia / http://bigocheatsheet.com / How to Ace the Software Engineering Interview / http://bit.ly/intro-to-big-o</t>
  </si>
  <si>
    <t xml:space="preserve">  Review data structures: arrays</t>
  </si>
  <si>
    <t>Wikipedia / How to Ace the Software Engineering Interview</t>
  </si>
  <si>
    <t xml:space="preserve">  Review data structures: linked lists</t>
  </si>
  <si>
    <t xml:space="preserve">  Review data structures: stack &amp; queues</t>
  </si>
  <si>
    <t xml:space="preserve">  Review data structures: trees</t>
  </si>
  <si>
    <t xml:space="preserve">  Review data structures: heap</t>
  </si>
  <si>
    <t xml:space="preserve">  Review data structures: trie</t>
  </si>
  <si>
    <t xml:space="preserve">  Review data structures: graphs</t>
  </si>
  <si>
    <t xml:space="preserve">  Review data structures: hash tables</t>
  </si>
  <si>
    <t xml:space="preserve">  Review how webapps work </t>
  </si>
  <si>
    <t>http://bit.ly/HowWebAppWorks</t>
  </si>
  <si>
    <t xml:space="preserve">  Review how TCP/IP works</t>
  </si>
  <si>
    <t>http://www.thegeekstuff.com/2011/11/tcp-ip-fundamentals/</t>
  </si>
  <si>
    <t xml:space="preserve">  Review recursion</t>
  </si>
  <si>
    <t>Wikipedia / Decode &amp; Conquer, Page 91</t>
  </si>
  <si>
    <t xml:space="preserve">  Review concurrency</t>
  </si>
  <si>
    <t>Wikipedia</t>
  </si>
  <si>
    <t xml:space="preserve">  Review machine learning fundamentals</t>
  </si>
  <si>
    <t>https://developers.google.com/machine-learning/crash-course/ml-intro</t>
  </si>
  <si>
    <t xml:space="preserve">  Review system design</t>
  </si>
  <si>
    <t>https://github.com/donnemartin/system-design-primer</t>
  </si>
  <si>
    <t xml:space="preserve">    How would you design a blogging application? </t>
  </si>
  <si>
    <t>Decode &amp; Conquer, Page 96</t>
  </si>
  <si>
    <t xml:space="preserve">    You're part of the Google Search web spam team. How would you detect duplicate websites?</t>
  </si>
  <si>
    <t>Decode &amp; Conquer, Page 98</t>
  </si>
  <si>
    <t xml:space="preserve">    Design an elevator control system.</t>
  </si>
  <si>
    <t>Decode &amp; Conquer, Page 100</t>
  </si>
  <si>
    <t xml:space="preserve">    Write an algorithm that detects meeting conflicts.</t>
  </si>
  <si>
    <t>Decode &amp; Conquer, Page 99</t>
  </si>
  <si>
    <t xml:space="preserve">    Brainstorm as many algorithms as possible for recommending Twitter followers.</t>
  </si>
  <si>
    <t>Decode &amp; Conquer, Page 89</t>
  </si>
  <si>
    <t xml:space="preserve">    What happens when you type a URL into a browser and hit ENTER?</t>
  </si>
  <si>
    <t>http://igoro.com/archive/what-really-happens-when-you-navigate-to-a-url/</t>
  </si>
  <si>
    <t>New Market Entry</t>
  </si>
  <si>
    <t xml:space="preserve">  Memorize the new market entry checklist</t>
  </si>
  <si>
    <t>Decode &amp; Conquer, Page 138</t>
  </si>
  <si>
    <t xml:space="preserve">  Review a new market entry example: "Start a new category...for Amazon"</t>
  </si>
  <si>
    <t>Decode &amp; Conquer, Page 139</t>
  </si>
  <si>
    <t xml:space="preserve">    Amazon: New oven vs. oven mitt</t>
  </si>
  <si>
    <t>Decode &amp; Conquer, Page 141</t>
  </si>
  <si>
    <t xml:space="preserve">    Amazon: Selling groceries from neighborhood supermarkets</t>
  </si>
  <si>
    <t>Decode &amp; Conquer, Page 148</t>
  </si>
  <si>
    <t>Go to Market Strategy</t>
  </si>
  <si>
    <t xml:space="preserve">  Review the Big Picture Framework</t>
  </si>
  <si>
    <t>The Marketing Interview, Chapter 3</t>
  </si>
  <si>
    <t xml:space="preserve">  Review application of the Big Picture Framework</t>
  </si>
  <si>
    <t xml:space="preserve">    How would you market Google AdWords?</t>
  </si>
  <si>
    <t>The Marketing Interview, Page 64</t>
  </si>
  <si>
    <t xml:space="preserve">    What promotional strategies would you use for a Honey Nut Cheerios campaign?</t>
  </si>
  <si>
    <t>The Marketing Interview, Page 51</t>
  </si>
  <si>
    <t xml:space="preserve">    As Brand Manager for Kingsford Charcoal, how do you increase sales in a shrinking market?</t>
  </si>
  <si>
    <t>The Marketing Interview, Page 95</t>
  </si>
  <si>
    <t>Company Specific Preparation</t>
  </si>
  <si>
    <t xml:space="preserve"> Identify the top 3-5 competitors. Know their value prop. vs. target employer, along with pros and cons.</t>
  </si>
  <si>
    <t xml:space="preserve"> Identify market trends, affecting your target company. Think SWOT analysis.</t>
  </si>
  <si>
    <t>https://en.wikipedia.org/wiki/SWOT_analysis</t>
  </si>
  <si>
    <t>Books and On-Demand Classes Mentioned</t>
  </si>
  <si>
    <t>Link</t>
  </si>
  <si>
    <t>Type</t>
  </si>
  <si>
    <t>https://amzn.to/2Sxde8x</t>
  </si>
  <si>
    <t>Book</t>
  </si>
  <si>
    <t>Interivew Math</t>
  </si>
  <si>
    <t>https://amzn.to/2W13eFR</t>
  </si>
  <si>
    <t>The Product Manager Interview</t>
  </si>
  <si>
    <t>https://amzn.to/2X56Q8O</t>
  </si>
  <si>
    <t>How to Ace the Software Engineering Interview</t>
  </si>
  <si>
    <t>http://j.mp/SWEngClass</t>
  </si>
  <si>
    <t>Class video</t>
  </si>
  <si>
    <t>Technical Concepts for Non-Technical Product Management &amp; Marketing Candidates</t>
  </si>
  <si>
    <t>http://bit.ly/Tech-Concepts-For-Non-Tech-PMs</t>
  </si>
  <si>
    <t>Thinkertoys</t>
  </si>
  <si>
    <t>http://amzn.to/1708jlH</t>
  </si>
  <si>
    <t>​Secrets of the Product Manager Interview</t>
  </si>
  <si>
    <t>http://amzn.to/2l5UoWG</t>
  </si>
  <si>
    <t>Web UI Design Patterns</t>
  </si>
  <si>
    <t>http://bit.ly/2dDEgco</t>
  </si>
  <si>
    <t>PDF</t>
  </si>
  <si>
    <t>Mobile UI Design Patterns</t>
  </si>
  <si>
    <t>http://bit.ly/1F4NsPU</t>
  </si>
  <si>
    <t>http://bit.ly/2blmx87</t>
  </si>
  <si>
    <t>Web Design Trends</t>
  </si>
  <si>
    <t>http://bit.ly/WebDesignTrends2015-2016</t>
  </si>
  <si>
    <t>8 Steps to a Great Storyboard by Jake Knapp</t>
  </si>
  <si>
    <t>http://bit.ly/2darYWf</t>
  </si>
  <si>
    <t>Case Interview Questions for Tech Companies</t>
  </si>
  <si>
    <t>http://amzn.to/2dFecv7</t>
  </si>
  <si>
    <t>The Marketing Interview</t>
  </si>
  <si>
    <t>https://amzn.to/2IyuFTe</t>
  </si>
  <si>
    <t>Find PM Mock Interview Practice Partners</t>
  </si>
  <si>
    <t>Request an invite to this PM Interview Group on Slack</t>
  </si>
  <si>
    <t>https://www.lewis-lin.com/blog/2016/8/22/pm-interview-practice-partner-community</t>
  </si>
  <si>
    <t>Google, Facebook, and Amazon Specific Interview Study Guides (30 and 36 Day Guides)</t>
  </si>
  <si>
    <t>https://www.lewis-lin.com/resources/</t>
  </si>
  <si>
    <t>Comments and feedback</t>
  </si>
  <si>
    <t xml:space="preserve">Email lewis@impactinterview.com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</si>
</sst>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"/>
  </numFmts>
  <fonts count="15">
    <font>
      <sz val="10.0"/>
      <color rgb="FF000000"/>
      <name val="Arial"/>
    </font>
    <font>
      <b/>
      <sz val="14.0"/>
      <name val="Lato"/>
    </font>
    <font>
      <b/>
      <u/>
      <sz val="14.0"/>
      <color rgb="FF0000FF"/>
      <name val="Lato"/>
    </font>
    <font>
      <sz val="14.0"/>
      <name val="Lato"/>
    </font>
    <font>
      <b/>
      <color rgb="FF990000"/>
      <name val="Arial"/>
    </font>
    <font>
      <u/>
      <color rgb="FF0000FF"/>
    </font>
    <font/>
    <font>
      <u/>
      <color rgb="FF0000FF"/>
    </font>
    <font>
      <b/>
    </font>
    <font>
      <color rgb="FF9900FF"/>
    </font>
    <font>
      <color rgb="FF000000"/>
    </font>
    <font>
      <u/>
      <color rgb="FF0000FF"/>
    </font>
    <font>
      <i/>
    </font>
    <font>
      <i/>
      <sz val="10.0"/>
    </font>
    <font>
      <u/>
      <color rgb="FF1155CC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center" readingOrder="0" shrinkToFit="0" wrapText="1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0" fontId="6" numFmtId="9" xfId="0" applyFont="1" applyNumberFormat="1"/>
    <xf borderId="0" fillId="0" fontId="9" numFmtId="164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6" numFmtId="164" xfId="0" applyFont="1" applyNumberFormat="1"/>
    <xf borderId="0" fillId="0" fontId="9" numFmtId="0" xfId="0" applyFont="1"/>
    <xf borderId="0" fillId="0" fontId="10" numFmtId="164" xfId="0" applyFont="1" applyNumberFormat="1"/>
    <xf borderId="0" fillId="0" fontId="10" numFmtId="0" xfId="0" applyFont="1"/>
    <xf borderId="0" fillId="0" fontId="10" numFmtId="9" xfId="0" applyFont="1" applyNumberFormat="1"/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2" fontId="13" numFmtId="0" xfId="0" applyAlignment="1" applyFill="1" applyFont="1">
      <alignment horizontal="left" readingOrder="0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81100" cy="1419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it.ly/PMPrepPlan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amzn.to/2IyuFTe" TargetMode="External"/><Relationship Id="rId11" Type="http://schemas.openxmlformats.org/officeDocument/2006/relationships/hyperlink" Target="http://bit.ly/Tech-Concepts-For-Non-Tech-PMs" TargetMode="External"/><Relationship Id="rId22" Type="http://schemas.openxmlformats.org/officeDocument/2006/relationships/hyperlink" Target="https://www.lewis-lin.com/resources/" TargetMode="External"/><Relationship Id="rId10" Type="http://schemas.openxmlformats.org/officeDocument/2006/relationships/hyperlink" Target="http://j.mp/SWEngClass" TargetMode="External"/><Relationship Id="rId21" Type="http://schemas.openxmlformats.org/officeDocument/2006/relationships/hyperlink" Target="https://www.lewis-lin.com/blog/2016/8/22/pm-interview-practice-partner-community" TargetMode="External"/><Relationship Id="rId13" Type="http://schemas.openxmlformats.org/officeDocument/2006/relationships/hyperlink" Target="http://amzn.to/2l5UoWG" TargetMode="External"/><Relationship Id="rId12" Type="http://schemas.openxmlformats.org/officeDocument/2006/relationships/hyperlink" Target="http://amzn.to/1708jlH" TargetMode="External"/><Relationship Id="rId23" Type="http://schemas.openxmlformats.org/officeDocument/2006/relationships/drawing" Target="../drawings/drawing2.xml"/><Relationship Id="rId1" Type="http://schemas.openxmlformats.org/officeDocument/2006/relationships/hyperlink" Target="http://bit.ly/HowWebAppWorks" TargetMode="External"/><Relationship Id="rId2" Type="http://schemas.openxmlformats.org/officeDocument/2006/relationships/hyperlink" Target="http://www.thegeekstuff.com/2011/11/tcp-ip-fundamentals/" TargetMode="External"/><Relationship Id="rId3" Type="http://schemas.openxmlformats.org/officeDocument/2006/relationships/hyperlink" Target="https://developers.google.com/machine-learning/crash-course/ml-intro" TargetMode="External"/><Relationship Id="rId4" Type="http://schemas.openxmlformats.org/officeDocument/2006/relationships/hyperlink" Target="https://github.com/donnemartin/system-design-primer" TargetMode="External"/><Relationship Id="rId9" Type="http://schemas.openxmlformats.org/officeDocument/2006/relationships/hyperlink" Target="https://amzn.to/2X56Q8O" TargetMode="External"/><Relationship Id="rId15" Type="http://schemas.openxmlformats.org/officeDocument/2006/relationships/hyperlink" Target="http://bit.ly/1F4NsPU" TargetMode="External"/><Relationship Id="rId14" Type="http://schemas.openxmlformats.org/officeDocument/2006/relationships/hyperlink" Target="http://bit.ly/2dDEgco" TargetMode="External"/><Relationship Id="rId17" Type="http://schemas.openxmlformats.org/officeDocument/2006/relationships/hyperlink" Target="http://bit.ly/WebDesignTrends2015-2016" TargetMode="External"/><Relationship Id="rId16" Type="http://schemas.openxmlformats.org/officeDocument/2006/relationships/hyperlink" Target="http://bit.ly/2blmx87" TargetMode="External"/><Relationship Id="rId5" Type="http://schemas.openxmlformats.org/officeDocument/2006/relationships/hyperlink" Target="http://igoro.com/archive/what-really-happens-when-you-navigate-to-a-url/" TargetMode="External"/><Relationship Id="rId19" Type="http://schemas.openxmlformats.org/officeDocument/2006/relationships/hyperlink" Target="http://amzn.to/2dFecv7" TargetMode="External"/><Relationship Id="rId6" Type="http://schemas.openxmlformats.org/officeDocument/2006/relationships/hyperlink" Target="https://en.wikipedia.org/wiki/SWOT_analysis" TargetMode="External"/><Relationship Id="rId18" Type="http://schemas.openxmlformats.org/officeDocument/2006/relationships/hyperlink" Target="http://bit.ly/2darYWf" TargetMode="External"/><Relationship Id="rId7" Type="http://schemas.openxmlformats.org/officeDocument/2006/relationships/hyperlink" Target="https://amzn.to/2Sxde8x" TargetMode="External"/><Relationship Id="rId8" Type="http://schemas.openxmlformats.org/officeDocument/2006/relationships/hyperlink" Target="https://amzn.to/2W13e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89.0"/>
  </cols>
  <sheetData>
    <row r="1" ht="111.75" customHeight="1">
      <c r="B1" s="1" t="s">
        <v>0</v>
      </c>
    </row>
    <row r="2">
      <c r="B2" s="2" t="s">
        <v>1</v>
      </c>
    </row>
    <row r="3">
      <c r="B3" s="3"/>
    </row>
    <row r="4">
      <c r="A4" s="4" t="s">
        <v>2</v>
      </c>
      <c r="B4" s="5" t="str">
        <f>HYPERLINK("https://image.prntscr.com/image/a0db4f272f2e46959b6db09173c13ddd.png","Make a copy of this spreadsheet by going to File -&gt; Download as in the upper left to make your own version. Excel recommended.")</f>
        <v>Make a copy of this spreadsheet by going to File -&gt; Download as in the upper left to make your own version. Excel recommended.</v>
      </c>
    </row>
    <row r="5">
      <c r="A5" s="4" t="s">
        <v>3</v>
      </c>
      <c r="B5" s="5" t="str">
        <f>HYPERLINK("https://www.lewis-lin.com/blog/2016/8/16/2-week-product-management-interview-prep-plan","Read the article that goes with the guide so you know exactly how to use this spreadsheet. ")</f>
        <v>Read the article that goes with the guide so you know exactly how to use this spreadsheet. </v>
      </c>
    </row>
    <row r="6">
      <c r="A6" s="4" t="s">
        <v>4</v>
      </c>
      <c r="B6" s="6" t="s">
        <v>5</v>
      </c>
    </row>
    <row r="7">
      <c r="A7" s="4" t="s">
        <v>6</v>
      </c>
      <c r="B7" s="5" t="str">
        <f>HYPERLINK("https://www.lewis-lin.com/blog/2016/8/22/pm-interview-practice-partner-community","Find interview practice partners.")</f>
        <v>Find interview practice partners.</v>
      </c>
    </row>
    <row r="8">
      <c r="B8" s="7"/>
    </row>
    <row r="9">
      <c r="B9" s="8" t="str">
        <f>HYPERLINK("https://www.lewis-lin.com/","Authored by Lewis C. Lin")</f>
        <v>Authored by Lewis C. Lin</v>
      </c>
    </row>
    <row r="10">
      <c r="B10" s="7"/>
    </row>
    <row r="11">
      <c r="B11" s="9" t="s">
        <v>7</v>
      </c>
    </row>
    <row r="12">
      <c r="B12" s="8" t="str">
        <f>HYPERLINK("https://www.slideshare.net/interviewcoach/30day-google-pm-interview-study-guide","30-Day Google PM Interview Study Guide")</f>
        <v>30-Day Google PM Interview Study Guide</v>
      </c>
    </row>
    <row r="13">
      <c r="B13" s="8" t="str">
        <f>HYPERLINK("https://www.slideshare.net/interviewcoach/30day-facebook-pm-interview-study-guide","30-Day Facebook PM Interview Study Guide")</f>
        <v>30-Day Facebook PM Interview Study Guide</v>
      </c>
    </row>
    <row r="14">
      <c r="B14" s="8" t="str">
        <f>HYPERLINK("https://www.slideshare.net/interviewcoach/36day-amazon-pm-interview-study-guide-129471163","36-Day Amazon PM Interview Study Guide")</f>
        <v>36-Day Amazon PM Interview Study Guide</v>
      </c>
    </row>
    <row r="15">
      <c r="B15" s="7"/>
    </row>
    <row r="16">
      <c r="B16" s="7"/>
    </row>
    <row r="17">
      <c r="B17" s="7"/>
    </row>
    <row r="18">
      <c r="B18" s="7"/>
    </row>
    <row r="19">
      <c r="B19" s="7"/>
    </row>
    <row r="20">
      <c r="B20" s="7"/>
    </row>
    <row r="21">
      <c r="B21" s="7"/>
    </row>
    <row r="22">
      <c r="B22" s="7"/>
    </row>
    <row r="23">
      <c r="B23" s="7"/>
    </row>
    <row r="24">
      <c r="B24" s="7"/>
    </row>
    <row r="25">
      <c r="B25" s="7"/>
    </row>
    <row r="26">
      <c r="B26" s="7"/>
    </row>
  </sheetData>
  <hyperlinks>
    <hyperlink r:id="rId1" ref="B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9.0"/>
    <col customWidth="1" min="2" max="2" width="89.0"/>
    <col customWidth="1" min="3" max="3" width="51.13"/>
    <col customWidth="1" min="4" max="4" width="9.5"/>
    <col customWidth="1" min="5" max="5" width="13.88"/>
    <col customWidth="1" min="6" max="6" width="13.38"/>
    <col customWidth="1" min="7" max="7" width="10.38"/>
  </cols>
  <sheetData>
    <row r="1">
      <c r="A1" s="10" t="s">
        <v>8</v>
      </c>
      <c r="B1" s="10" t="s">
        <v>9</v>
      </c>
      <c r="C1" s="11" t="s">
        <v>10</v>
      </c>
      <c r="D1" s="11" t="s">
        <v>11</v>
      </c>
      <c r="E1" s="11" t="s">
        <v>12</v>
      </c>
      <c r="F1" s="11" t="s">
        <v>13</v>
      </c>
      <c r="G1" s="11" t="s">
        <v>14</v>
      </c>
    </row>
    <row r="2">
      <c r="B2" s="10" t="s">
        <v>15</v>
      </c>
    </row>
    <row r="3">
      <c r="B3" s="12" t="s">
        <v>16</v>
      </c>
      <c r="C3" s="12" t="s">
        <v>17</v>
      </c>
      <c r="D3" s="13">
        <f>D5</f>
        <v>42343</v>
      </c>
      <c r="E3">
        <f t="shared" ref="E3:F3" si="1">sum(E4:E5)</f>
        <v>40</v>
      </c>
      <c r="F3">
        <f t="shared" si="1"/>
        <v>15</v>
      </c>
      <c r="G3" s="14">
        <f t="shared" ref="G3:G11" si="2">F3/E3</f>
        <v>0.375</v>
      </c>
    </row>
    <row r="4">
      <c r="B4" s="12" t="s">
        <v>18</v>
      </c>
      <c r="C4" s="12" t="s">
        <v>17</v>
      </c>
      <c r="D4" s="15">
        <v>42342.0</v>
      </c>
      <c r="E4" s="16">
        <v>20.0</v>
      </c>
      <c r="F4" s="16">
        <v>10.0</v>
      </c>
      <c r="G4" s="14">
        <f t="shared" si="2"/>
        <v>0.5</v>
      </c>
    </row>
    <row r="5">
      <c r="B5" s="12" t="s">
        <v>19</v>
      </c>
      <c r="C5" s="12" t="s">
        <v>17</v>
      </c>
      <c r="D5" s="15">
        <v>42343.0</v>
      </c>
      <c r="E5" s="16">
        <v>20.0</v>
      </c>
      <c r="F5" s="16">
        <v>5.0</v>
      </c>
      <c r="G5" s="14">
        <f t="shared" si="2"/>
        <v>0.25</v>
      </c>
    </row>
    <row r="6">
      <c r="B6" s="12" t="s">
        <v>20</v>
      </c>
      <c r="D6" s="17">
        <f t="shared" ref="D6:F6" si="3">D7</f>
        <v>42344</v>
      </c>
      <c r="E6">
        <f t="shared" si="3"/>
        <v>20</v>
      </c>
      <c r="F6">
        <f t="shared" si="3"/>
        <v>20</v>
      </c>
      <c r="G6" s="14">
        <f t="shared" si="2"/>
        <v>1</v>
      </c>
    </row>
    <row r="7">
      <c r="B7" s="12" t="s">
        <v>21</v>
      </c>
      <c r="D7" s="15">
        <v>42344.0</v>
      </c>
      <c r="E7" s="16">
        <v>20.0</v>
      </c>
      <c r="F7" s="16">
        <v>20.0</v>
      </c>
      <c r="G7" s="14">
        <f t="shared" si="2"/>
        <v>1</v>
      </c>
    </row>
    <row r="8">
      <c r="B8" s="12" t="s">
        <v>22</v>
      </c>
      <c r="C8" s="12" t="s">
        <v>23</v>
      </c>
      <c r="D8" s="17">
        <f t="shared" ref="D8:F8" si="4">D9</f>
        <v>42345</v>
      </c>
      <c r="E8">
        <f t="shared" si="4"/>
        <v>180</v>
      </c>
      <c r="F8">
        <f t="shared" si="4"/>
        <v>60</v>
      </c>
      <c r="G8" s="14">
        <f t="shared" si="2"/>
        <v>0.3333333333</v>
      </c>
    </row>
    <row r="9">
      <c r="B9" s="12" t="s">
        <v>24</v>
      </c>
      <c r="D9" s="15">
        <v>42345.0</v>
      </c>
      <c r="E9" s="16">
        <v>180.0</v>
      </c>
      <c r="F9" s="18">
        <f>60</f>
        <v>60</v>
      </c>
      <c r="G9" s="14">
        <f t="shared" si="2"/>
        <v>0.3333333333</v>
      </c>
    </row>
    <row r="10">
      <c r="B10" s="12" t="s">
        <v>25</v>
      </c>
      <c r="C10" s="12" t="s">
        <v>26</v>
      </c>
      <c r="D10" s="15">
        <v>42346.0</v>
      </c>
      <c r="E10" s="16">
        <v>30.0</v>
      </c>
      <c r="F10" s="16">
        <v>10.0</v>
      </c>
      <c r="G10" s="14">
        <f t="shared" si="2"/>
        <v>0.3333333333</v>
      </c>
    </row>
    <row r="11">
      <c r="B11" s="12" t="s">
        <v>27</v>
      </c>
      <c r="C11" s="12" t="s">
        <v>28</v>
      </c>
      <c r="D11" s="15">
        <v>42346.0</v>
      </c>
      <c r="E11" s="16">
        <v>45.0</v>
      </c>
      <c r="F11" s="16">
        <v>15.0</v>
      </c>
      <c r="G11" s="14">
        <f t="shared" si="2"/>
        <v>0.3333333333</v>
      </c>
    </row>
    <row r="12">
      <c r="B12" s="10" t="s">
        <v>29</v>
      </c>
    </row>
    <row r="13">
      <c r="B13" s="12" t="s">
        <v>30</v>
      </c>
      <c r="C13" s="12"/>
      <c r="D13" s="17">
        <f>D16</f>
        <v>42348</v>
      </c>
      <c r="E13">
        <f t="shared" ref="E13:F13" si="5">sum(E14:E16)</f>
        <v>180</v>
      </c>
      <c r="F13">
        <f t="shared" si="5"/>
        <v>45</v>
      </c>
      <c r="G13" s="14">
        <f t="shared" ref="G13:G16" si="6">F13/E13</f>
        <v>0.25</v>
      </c>
    </row>
    <row r="14">
      <c r="B14" s="12" t="s">
        <v>31</v>
      </c>
      <c r="C14" s="12" t="s">
        <v>32</v>
      </c>
      <c r="D14" s="15">
        <v>42347.0</v>
      </c>
      <c r="E14" s="16">
        <v>60.0</v>
      </c>
      <c r="F14" s="16">
        <v>15.0</v>
      </c>
      <c r="G14" s="14">
        <f t="shared" si="6"/>
        <v>0.25</v>
      </c>
    </row>
    <row r="15">
      <c r="B15" s="12" t="s">
        <v>33</v>
      </c>
      <c r="C15" s="12" t="s">
        <v>34</v>
      </c>
      <c r="D15" s="15">
        <v>42348.0</v>
      </c>
      <c r="E15" s="16">
        <v>60.0</v>
      </c>
      <c r="F15" s="16">
        <v>15.0</v>
      </c>
      <c r="G15" s="14">
        <f t="shared" si="6"/>
        <v>0.25</v>
      </c>
    </row>
    <row r="16">
      <c r="B16" s="12" t="s">
        <v>35</v>
      </c>
      <c r="C16" s="12" t="s">
        <v>34</v>
      </c>
      <c r="D16" s="15">
        <v>42348.0</v>
      </c>
      <c r="E16" s="16">
        <v>60.0</v>
      </c>
      <c r="F16" s="16">
        <v>15.0</v>
      </c>
      <c r="G16" s="14">
        <f t="shared" si="6"/>
        <v>0.25</v>
      </c>
    </row>
    <row r="17">
      <c r="B17" s="10" t="s">
        <v>36</v>
      </c>
      <c r="C17" s="12"/>
    </row>
    <row r="18">
      <c r="B18" s="12" t="s">
        <v>37</v>
      </c>
      <c r="C18" s="12" t="s">
        <v>38</v>
      </c>
      <c r="D18" s="15">
        <v>42349.0</v>
      </c>
      <c r="E18" s="16">
        <v>20.0</v>
      </c>
      <c r="F18" s="16">
        <v>20.0</v>
      </c>
      <c r="G18" s="14">
        <f t="shared" ref="G18:G28" si="8">F18/E18</f>
        <v>1</v>
      </c>
    </row>
    <row r="19">
      <c r="B19" s="12" t="s">
        <v>39</v>
      </c>
      <c r="C19" s="12"/>
      <c r="D19" s="19">
        <f>D20</f>
        <v>42349</v>
      </c>
      <c r="E19" s="20">
        <f t="shared" ref="E19:F19" si="7">sum(E20:E21)</f>
        <v>20</v>
      </c>
      <c r="F19" s="20">
        <f t="shared" si="7"/>
        <v>20</v>
      </c>
      <c r="G19" s="14">
        <f t="shared" si="8"/>
        <v>1</v>
      </c>
    </row>
    <row r="20">
      <c r="B20" s="12" t="s">
        <v>40</v>
      </c>
      <c r="C20" s="12" t="s">
        <v>41</v>
      </c>
      <c r="D20" s="15">
        <v>42349.0</v>
      </c>
      <c r="E20" s="16">
        <v>10.0</v>
      </c>
      <c r="F20" s="16">
        <v>10.0</v>
      </c>
      <c r="G20" s="14">
        <f t="shared" si="8"/>
        <v>1</v>
      </c>
    </row>
    <row r="21">
      <c r="B21" s="12" t="s">
        <v>42</v>
      </c>
      <c r="C21" s="12" t="s">
        <v>43</v>
      </c>
      <c r="D21" s="15">
        <v>42349.0</v>
      </c>
      <c r="E21" s="16">
        <v>10.0</v>
      </c>
      <c r="F21" s="16">
        <v>10.0</v>
      </c>
      <c r="G21" s="14">
        <f t="shared" si="8"/>
        <v>1</v>
      </c>
    </row>
    <row r="22">
      <c r="B22" s="12" t="s">
        <v>44</v>
      </c>
      <c r="C22" s="12" t="s">
        <v>45</v>
      </c>
      <c r="D22" s="15">
        <v>42349.0</v>
      </c>
      <c r="E22" s="16">
        <v>10.0</v>
      </c>
      <c r="F22" s="16">
        <v>10.0</v>
      </c>
      <c r="G22" s="14">
        <f t="shared" si="8"/>
        <v>1</v>
      </c>
    </row>
    <row r="23">
      <c r="B23" s="12" t="s">
        <v>39</v>
      </c>
      <c r="C23" s="12"/>
      <c r="D23" s="19">
        <f>D24</f>
        <v>42350</v>
      </c>
      <c r="E23" s="20">
        <f t="shared" ref="E23:F23" si="9">sum(E24:E28)</f>
        <v>50</v>
      </c>
      <c r="F23" s="20">
        <f t="shared" si="9"/>
        <v>50</v>
      </c>
      <c r="G23" s="14">
        <f t="shared" si="8"/>
        <v>1</v>
      </c>
    </row>
    <row r="24">
      <c r="B24" s="12" t="s">
        <v>46</v>
      </c>
      <c r="C24" s="12" t="s">
        <v>47</v>
      </c>
      <c r="D24" s="15">
        <v>42350.0</v>
      </c>
      <c r="E24" s="16">
        <v>10.0</v>
      </c>
      <c r="F24" s="16">
        <v>10.0</v>
      </c>
      <c r="G24" s="14">
        <f t="shared" si="8"/>
        <v>1</v>
      </c>
    </row>
    <row r="25">
      <c r="B25" s="12" t="s">
        <v>48</v>
      </c>
      <c r="C25" s="12" t="s">
        <v>49</v>
      </c>
      <c r="D25" s="15">
        <v>42350.0</v>
      </c>
      <c r="E25" s="16">
        <v>10.0</v>
      </c>
      <c r="F25" s="16">
        <v>10.0</v>
      </c>
      <c r="G25" s="14">
        <f t="shared" si="8"/>
        <v>1</v>
      </c>
    </row>
    <row r="26">
      <c r="B26" s="12" t="s">
        <v>50</v>
      </c>
      <c r="C26" s="12" t="s">
        <v>51</v>
      </c>
      <c r="D26" s="15">
        <v>42350.0</v>
      </c>
      <c r="E26" s="16">
        <v>10.0</v>
      </c>
      <c r="F26" s="16">
        <v>10.0</v>
      </c>
      <c r="G26" s="14">
        <f t="shared" si="8"/>
        <v>1</v>
      </c>
    </row>
    <row r="27">
      <c r="B27" s="12" t="s">
        <v>52</v>
      </c>
      <c r="C27" s="12" t="s">
        <v>53</v>
      </c>
      <c r="D27" s="15">
        <v>42350.0</v>
      </c>
      <c r="E27" s="16">
        <v>10.0</v>
      </c>
      <c r="F27" s="16">
        <v>10.0</v>
      </c>
      <c r="G27" s="14">
        <f t="shared" si="8"/>
        <v>1</v>
      </c>
    </row>
    <row r="28">
      <c r="B28" s="12" t="s">
        <v>54</v>
      </c>
      <c r="C28" s="12" t="s">
        <v>55</v>
      </c>
      <c r="D28" s="15">
        <v>42350.0</v>
      </c>
      <c r="E28" s="16">
        <v>10.0</v>
      </c>
      <c r="F28" s="16">
        <v>10.0</v>
      </c>
      <c r="G28" s="14">
        <f t="shared" si="8"/>
        <v>1</v>
      </c>
    </row>
    <row r="29">
      <c r="B29" s="10" t="s">
        <v>56</v>
      </c>
      <c r="C29" s="12"/>
    </row>
    <row r="30">
      <c r="B30" s="12" t="s">
        <v>57</v>
      </c>
      <c r="C30" s="12" t="s">
        <v>58</v>
      </c>
      <c r="D30" s="15">
        <v>42351.0</v>
      </c>
      <c r="E30" s="16">
        <v>90.0</v>
      </c>
      <c r="F30" s="16">
        <v>45.0</v>
      </c>
      <c r="G30" s="14">
        <f>F30/E30</f>
        <v>0.5</v>
      </c>
    </row>
    <row r="31">
      <c r="B31" s="12" t="s">
        <v>39</v>
      </c>
      <c r="C31" s="12"/>
      <c r="D31" s="19">
        <f>D32</f>
        <v>42351</v>
      </c>
      <c r="E31" s="20">
        <f t="shared" ref="E31:F31" si="10">sum(E32:E36)</f>
        <v>210</v>
      </c>
      <c r="F31" s="20">
        <f t="shared" si="10"/>
        <v>100</v>
      </c>
    </row>
    <row r="32">
      <c r="B32" s="12" t="s">
        <v>59</v>
      </c>
      <c r="C32" s="12" t="s">
        <v>60</v>
      </c>
      <c r="D32" s="15">
        <v>42351.0</v>
      </c>
      <c r="E32" s="16">
        <v>15.0</v>
      </c>
      <c r="F32" s="16">
        <v>5.0</v>
      </c>
      <c r="G32" s="14">
        <f t="shared" ref="G32:G34" si="11">F32/E32</f>
        <v>0.3333333333</v>
      </c>
    </row>
    <row r="33">
      <c r="B33" s="12" t="s">
        <v>61</v>
      </c>
      <c r="C33" s="12" t="s">
        <v>62</v>
      </c>
      <c r="D33" s="15">
        <v>42351.0</v>
      </c>
      <c r="E33" s="16">
        <v>90.0</v>
      </c>
      <c r="F33" s="16">
        <v>45.0</v>
      </c>
      <c r="G33" s="14">
        <f t="shared" si="11"/>
        <v>0.5</v>
      </c>
    </row>
    <row r="34">
      <c r="B34" s="12" t="s">
        <v>63</v>
      </c>
      <c r="C34" s="12" t="s">
        <v>64</v>
      </c>
      <c r="D34" s="15">
        <v>42351.0</v>
      </c>
      <c r="E34" s="16">
        <v>90.0</v>
      </c>
      <c r="F34" s="16">
        <v>45.0</v>
      </c>
      <c r="G34" s="14">
        <f t="shared" si="11"/>
        <v>0.5</v>
      </c>
    </row>
    <row r="35">
      <c r="B35" s="10" t="s">
        <v>65</v>
      </c>
      <c r="C35" s="12"/>
    </row>
    <row r="36">
      <c r="B36" s="12" t="s">
        <v>66</v>
      </c>
      <c r="C36" s="12" t="s">
        <v>67</v>
      </c>
      <c r="D36" s="15">
        <v>42351.0</v>
      </c>
      <c r="E36" s="16">
        <v>15.0</v>
      </c>
      <c r="F36" s="16">
        <v>5.0</v>
      </c>
      <c r="G36" s="14">
        <f t="shared" ref="G36:G40" si="13">F36/E36</f>
        <v>0.3333333333</v>
      </c>
    </row>
    <row r="37">
      <c r="B37" s="12" t="s">
        <v>68</v>
      </c>
      <c r="C37" s="12" t="s">
        <v>69</v>
      </c>
      <c r="D37" s="19">
        <f>D38</f>
        <v>42353</v>
      </c>
      <c r="E37" s="20">
        <f t="shared" ref="E37:F37" si="12">sum(E38:E39)</f>
        <v>180</v>
      </c>
      <c r="F37" s="20">
        <f t="shared" si="12"/>
        <v>180</v>
      </c>
      <c r="G37" s="14">
        <f t="shared" si="13"/>
        <v>1</v>
      </c>
    </row>
    <row r="38">
      <c r="B38" s="12" t="s">
        <v>70</v>
      </c>
      <c r="D38" s="15">
        <v>42353.0</v>
      </c>
      <c r="E38" s="16">
        <v>120.0</v>
      </c>
      <c r="F38" s="16">
        <v>120.0</v>
      </c>
      <c r="G38" s="14">
        <f t="shared" si="13"/>
        <v>1</v>
      </c>
    </row>
    <row r="39">
      <c r="B39" s="12" t="s">
        <v>71</v>
      </c>
      <c r="D39" s="15">
        <v>42353.0</v>
      </c>
      <c r="E39" s="16">
        <v>60.0</v>
      </c>
      <c r="F39" s="16">
        <v>60.0</v>
      </c>
      <c r="G39" s="14">
        <f t="shared" si="13"/>
        <v>1</v>
      </c>
    </row>
    <row r="40">
      <c r="B40" s="12" t="s">
        <v>72</v>
      </c>
      <c r="D40" s="15">
        <v>42354.0</v>
      </c>
      <c r="E40" s="16">
        <v>90.0</v>
      </c>
      <c r="F40" s="16">
        <v>45.0</v>
      </c>
      <c r="G40" s="21">
        <f t="shared" si="13"/>
        <v>0.5</v>
      </c>
    </row>
    <row r="41">
      <c r="B41" s="10" t="s">
        <v>73</v>
      </c>
      <c r="G41" s="20"/>
    </row>
    <row r="42">
      <c r="B42" s="12" t="s">
        <v>74</v>
      </c>
      <c r="C42" s="12" t="s">
        <v>75</v>
      </c>
      <c r="D42" s="15">
        <v>42355.0</v>
      </c>
      <c r="E42" s="16">
        <v>10.0</v>
      </c>
      <c r="F42" s="16">
        <v>10.0</v>
      </c>
      <c r="G42" s="21">
        <f t="shared" ref="G42:G64" si="14">F42/E42</f>
        <v>1</v>
      </c>
    </row>
    <row r="43">
      <c r="B43" s="12" t="s">
        <v>76</v>
      </c>
      <c r="C43" s="12" t="s">
        <v>77</v>
      </c>
      <c r="D43" s="15">
        <v>42355.0</v>
      </c>
      <c r="E43" s="16">
        <v>20.0</v>
      </c>
      <c r="F43" s="16">
        <v>0.0</v>
      </c>
      <c r="G43" s="21">
        <f t="shared" si="14"/>
        <v>0</v>
      </c>
    </row>
    <row r="44">
      <c r="B44" s="12" t="s">
        <v>78</v>
      </c>
      <c r="C44" s="12" t="s">
        <v>79</v>
      </c>
      <c r="D44" s="15">
        <v>42355.0</v>
      </c>
      <c r="E44" s="16">
        <v>20.0</v>
      </c>
      <c r="F44" s="16">
        <v>0.0</v>
      </c>
      <c r="G44" s="21">
        <f t="shared" si="14"/>
        <v>0</v>
      </c>
    </row>
    <row r="45">
      <c r="B45" s="12" t="s">
        <v>80</v>
      </c>
      <c r="C45" s="12" t="s">
        <v>79</v>
      </c>
      <c r="D45" s="15">
        <v>42355.0</v>
      </c>
      <c r="E45" s="16">
        <v>20.0</v>
      </c>
      <c r="F45" s="16">
        <v>0.0</v>
      </c>
      <c r="G45" s="21">
        <f t="shared" si="14"/>
        <v>0</v>
      </c>
    </row>
    <row r="46">
      <c r="B46" s="12" t="s">
        <v>81</v>
      </c>
      <c r="C46" s="12" t="s">
        <v>79</v>
      </c>
      <c r="D46" s="15">
        <v>42355.0</v>
      </c>
      <c r="E46" s="16">
        <v>20.0</v>
      </c>
      <c r="F46" s="16">
        <v>0.0</v>
      </c>
      <c r="G46" s="21">
        <f t="shared" si="14"/>
        <v>0</v>
      </c>
    </row>
    <row r="47">
      <c r="B47" s="12" t="s">
        <v>82</v>
      </c>
      <c r="C47" s="12" t="s">
        <v>79</v>
      </c>
      <c r="D47" s="15">
        <v>42356.0</v>
      </c>
      <c r="E47" s="16">
        <v>20.0</v>
      </c>
      <c r="F47" s="16">
        <v>0.0</v>
      </c>
      <c r="G47" s="21">
        <f t="shared" si="14"/>
        <v>0</v>
      </c>
    </row>
    <row r="48">
      <c r="B48" s="12" t="s">
        <v>83</v>
      </c>
      <c r="C48" s="12" t="s">
        <v>79</v>
      </c>
      <c r="D48" s="15">
        <v>42356.0</v>
      </c>
      <c r="E48" s="16">
        <v>20.0</v>
      </c>
      <c r="F48" s="16">
        <v>0.0</v>
      </c>
      <c r="G48" s="21">
        <f t="shared" si="14"/>
        <v>0</v>
      </c>
    </row>
    <row r="49">
      <c r="B49" s="12" t="s">
        <v>84</v>
      </c>
      <c r="C49" s="12" t="s">
        <v>79</v>
      </c>
      <c r="D49" s="15">
        <v>42356.0</v>
      </c>
      <c r="E49" s="16">
        <v>20.0</v>
      </c>
      <c r="F49" s="16">
        <v>0.0</v>
      </c>
      <c r="G49" s="21">
        <f t="shared" si="14"/>
        <v>0</v>
      </c>
    </row>
    <row r="50">
      <c r="B50" s="12" t="s">
        <v>85</v>
      </c>
      <c r="C50" s="12" t="s">
        <v>79</v>
      </c>
      <c r="D50" s="15">
        <v>42356.0</v>
      </c>
      <c r="E50" s="16">
        <v>20.0</v>
      </c>
      <c r="F50" s="16">
        <v>0.0</v>
      </c>
      <c r="G50" s="21">
        <f t="shared" si="14"/>
        <v>0</v>
      </c>
    </row>
    <row r="51">
      <c r="B51" s="12" t="s">
        <v>86</v>
      </c>
      <c r="C51" s="12" t="s">
        <v>79</v>
      </c>
      <c r="D51" s="15">
        <v>42356.0</v>
      </c>
      <c r="E51" s="16">
        <v>20.0</v>
      </c>
      <c r="F51" s="16">
        <v>0.0</v>
      </c>
      <c r="G51" s="21">
        <f t="shared" si="14"/>
        <v>0</v>
      </c>
    </row>
    <row r="52">
      <c r="B52" s="12" t="s">
        <v>87</v>
      </c>
      <c r="C52" s="22" t="s">
        <v>88</v>
      </c>
      <c r="D52" s="15">
        <v>42356.0</v>
      </c>
      <c r="E52" s="16">
        <v>5.0</v>
      </c>
      <c r="F52" s="16">
        <v>5.0</v>
      </c>
      <c r="G52" s="21">
        <f t="shared" si="14"/>
        <v>1</v>
      </c>
    </row>
    <row r="53">
      <c r="B53" s="12" t="s">
        <v>89</v>
      </c>
      <c r="C53" s="22" t="s">
        <v>90</v>
      </c>
      <c r="D53" s="15">
        <v>42356.0</v>
      </c>
      <c r="E53" s="16">
        <v>5.0</v>
      </c>
      <c r="F53" s="16">
        <v>5.0</v>
      </c>
      <c r="G53" s="21">
        <f t="shared" si="14"/>
        <v>1</v>
      </c>
    </row>
    <row r="54">
      <c r="B54" s="12" t="s">
        <v>91</v>
      </c>
      <c r="C54" s="12" t="s">
        <v>92</v>
      </c>
      <c r="D54" s="15">
        <v>42356.0</v>
      </c>
      <c r="E54" s="16">
        <v>5.0</v>
      </c>
      <c r="F54" s="16">
        <v>5.0</v>
      </c>
      <c r="G54" s="21">
        <f t="shared" si="14"/>
        <v>1</v>
      </c>
    </row>
    <row r="55">
      <c r="B55" s="12" t="s">
        <v>93</v>
      </c>
      <c r="C55" s="12" t="s">
        <v>94</v>
      </c>
      <c r="D55" s="15">
        <v>42356.0</v>
      </c>
      <c r="E55" s="16">
        <v>5.0</v>
      </c>
      <c r="F55" s="16">
        <v>5.0</v>
      </c>
      <c r="G55" s="21">
        <f t="shared" si="14"/>
        <v>1</v>
      </c>
    </row>
    <row r="56">
      <c r="B56" s="12" t="s">
        <v>95</v>
      </c>
      <c r="C56" s="22" t="s">
        <v>96</v>
      </c>
      <c r="D56" s="15">
        <v>42356.0</v>
      </c>
      <c r="E56" s="16">
        <v>180.0</v>
      </c>
      <c r="F56" s="16">
        <v>5.0</v>
      </c>
      <c r="G56" s="21">
        <f t="shared" si="14"/>
        <v>0.02777777778</v>
      </c>
    </row>
    <row r="57">
      <c r="B57" s="12" t="s">
        <v>97</v>
      </c>
      <c r="C57" s="22" t="s">
        <v>98</v>
      </c>
      <c r="D57" s="15">
        <v>42356.0</v>
      </c>
      <c r="E57" s="16">
        <v>240.0</v>
      </c>
      <c r="F57" s="16">
        <v>5.0</v>
      </c>
      <c r="G57" s="21">
        <f t="shared" si="14"/>
        <v>0.02083333333</v>
      </c>
    </row>
    <row r="58">
      <c r="B58" s="12" t="s">
        <v>39</v>
      </c>
      <c r="D58" s="13">
        <f>D60</f>
        <v>42357</v>
      </c>
      <c r="E58">
        <f t="shared" ref="E58:F58" si="15">sum(E59:E64)</f>
        <v>105</v>
      </c>
      <c r="F58">
        <f t="shared" si="15"/>
        <v>0</v>
      </c>
      <c r="G58" s="21">
        <f t="shared" si="14"/>
        <v>0</v>
      </c>
    </row>
    <row r="59">
      <c r="B59" s="12" t="s">
        <v>99</v>
      </c>
      <c r="C59" s="12" t="s">
        <v>100</v>
      </c>
      <c r="D59" s="15">
        <v>42357.0</v>
      </c>
      <c r="E59" s="16">
        <v>20.0</v>
      </c>
      <c r="F59" s="16">
        <v>0.0</v>
      </c>
      <c r="G59" s="21">
        <f t="shared" si="14"/>
        <v>0</v>
      </c>
    </row>
    <row r="60">
      <c r="B60" s="12" t="s">
        <v>101</v>
      </c>
      <c r="C60" s="12" t="s">
        <v>102</v>
      </c>
      <c r="D60" s="15">
        <v>42357.0</v>
      </c>
      <c r="E60" s="16">
        <v>20.0</v>
      </c>
      <c r="F60" s="16">
        <v>0.0</v>
      </c>
      <c r="G60" s="21">
        <f t="shared" si="14"/>
        <v>0</v>
      </c>
    </row>
    <row r="61">
      <c r="B61" s="12" t="s">
        <v>103</v>
      </c>
      <c r="C61" s="12" t="s">
        <v>104</v>
      </c>
      <c r="D61" s="15">
        <v>42358.0</v>
      </c>
      <c r="E61" s="16">
        <v>20.0</v>
      </c>
      <c r="F61" s="16">
        <v>0.0</v>
      </c>
      <c r="G61" s="21">
        <f t="shared" si="14"/>
        <v>0</v>
      </c>
    </row>
    <row r="62">
      <c r="B62" s="12" t="s">
        <v>105</v>
      </c>
      <c r="C62" s="12" t="s">
        <v>106</v>
      </c>
      <c r="D62" s="15">
        <v>42358.0</v>
      </c>
      <c r="E62" s="16">
        <v>20.0</v>
      </c>
      <c r="F62" s="16">
        <v>0.0</v>
      </c>
      <c r="G62" s="21">
        <f t="shared" si="14"/>
        <v>0</v>
      </c>
    </row>
    <row r="63">
      <c r="B63" s="12" t="s">
        <v>107</v>
      </c>
      <c r="C63" s="12" t="s">
        <v>108</v>
      </c>
      <c r="D63" s="15">
        <v>42358.0</v>
      </c>
      <c r="E63" s="16">
        <v>20.0</v>
      </c>
      <c r="F63" s="16">
        <v>0.0</v>
      </c>
      <c r="G63" s="21">
        <f t="shared" si="14"/>
        <v>0</v>
      </c>
    </row>
    <row r="64">
      <c r="B64" s="12" t="s">
        <v>109</v>
      </c>
      <c r="C64" s="22" t="s">
        <v>110</v>
      </c>
      <c r="D64" s="15">
        <v>42358.0</v>
      </c>
      <c r="E64" s="16">
        <v>5.0</v>
      </c>
      <c r="F64" s="16">
        <v>0.0</v>
      </c>
      <c r="G64" s="21">
        <f t="shared" si="14"/>
        <v>0</v>
      </c>
    </row>
    <row r="65">
      <c r="B65" s="10" t="s">
        <v>111</v>
      </c>
      <c r="D65" s="13"/>
      <c r="G65" s="20"/>
    </row>
    <row r="66">
      <c r="B66" s="12" t="s">
        <v>112</v>
      </c>
      <c r="C66" s="12" t="s">
        <v>113</v>
      </c>
      <c r="D66" s="15">
        <v>42359.0</v>
      </c>
      <c r="E66" s="16">
        <v>10.0</v>
      </c>
      <c r="F66" s="16">
        <v>10.0</v>
      </c>
      <c r="G66" s="21">
        <f t="shared" ref="G66:G70" si="16">F66/E66</f>
        <v>1</v>
      </c>
    </row>
    <row r="67">
      <c r="B67" s="12" t="s">
        <v>114</v>
      </c>
      <c r="C67" s="12" t="s">
        <v>115</v>
      </c>
      <c r="D67" s="15">
        <v>42359.0</v>
      </c>
      <c r="E67" s="16">
        <v>5.0</v>
      </c>
      <c r="F67" s="16">
        <v>5.0</v>
      </c>
      <c r="G67" s="21">
        <f t="shared" si="16"/>
        <v>1</v>
      </c>
    </row>
    <row r="68">
      <c r="B68" s="12" t="s">
        <v>39</v>
      </c>
      <c r="D68" s="13">
        <f>D70</f>
        <v>42359</v>
      </c>
      <c r="E68">
        <f t="shared" ref="E68:F68" si="17">sum(E69:E70)</f>
        <v>50</v>
      </c>
      <c r="F68">
        <f t="shared" si="17"/>
        <v>50</v>
      </c>
      <c r="G68" s="21">
        <f t="shared" si="16"/>
        <v>1</v>
      </c>
    </row>
    <row r="69">
      <c r="B69" s="12" t="s">
        <v>116</v>
      </c>
      <c r="C69" s="12" t="s">
        <v>117</v>
      </c>
      <c r="D69" s="15">
        <v>42359.0</v>
      </c>
      <c r="E69" s="16">
        <v>25.0</v>
      </c>
      <c r="F69" s="16">
        <v>25.0</v>
      </c>
      <c r="G69" s="21">
        <f t="shared" si="16"/>
        <v>1</v>
      </c>
    </row>
    <row r="70">
      <c r="B70" s="12" t="s">
        <v>118</v>
      </c>
      <c r="C70" s="12" t="s">
        <v>119</v>
      </c>
      <c r="D70" s="15">
        <v>42359.0</v>
      </c>
      <c r="E70" s="16">
        <v>25.0</v>
      </c>
      <c r="F70" s="16">
        <v>25.0</v>
      </c>
      <c r="G70" s="21">
        <f t="shared" si="16"/>
        <v>1</v>
      </c>
    </row>
    <row r="71">
      <c r="B71" s="10" t="s">
        <v>120</v>
      </c>
      <c r="D71" s="13"/>
      <c r="G71" s="20"/>
    </row>
    <row r="72">
      <c r="B72" s="12" t="s">
        <v>121</v>
      </c>
      <c r="C72" s="12" t="s">
        <v>122</v>
      </c>
      <c r="D72" s="15">
        <v>42359.0</v>
      </c>
      <c r="E72" s="16">
        <v>30.0</v>
      </c>
      <c r="F72" s="16">
        <v>30.0</v>
      </c>
      <c r="G72" s="21">
        <f t="shared" ref="G72:G76" si="19">F72/E72</f>
        <v>1</v>
      </c>
    </row>
    <row r="73">
      <c r="B73" s="12" t="s">
        <v>123</v>
      </c>
      <c r="D73" s="13">
        <f>D75</f>
        <v>42359</v>
      </c>
      <c r="E73">
        <f t="shared" ref="E73:F73" si="18">sum(E74:E76)</f>
        <v>60</v>
      </c>
      <c r="F73">
        <f t="shared" si="18"/>
        <v>60</v>
      </c>
      <c r="G73" s="21">
        <f t="shared" si="19"/>
        <v>1</v>
      </c>
    </row>
    <row r="74">
      <c r="B74" s="12" t="s">
        <v>124</v>
      </c>
      <c r="C74" s="12" t="s">
        <v>125</v>
      </c>
      <c r="D74" s="15">
        <v>42359.0</v>
      </c>
      <c r="E74" s="16">
        <v>20.0</v>
      </c>
      <c r="F74" s="16">
        <v>20.0</v>
      </c>
      <c r="G74" s="21">
        <f t="shared" si="19"/>
        <v>1</v>
      </c>
    </row>
    <row r="75">
      <c r="B75" s="12" t="s">
        <v>126</v>
      </c>
      <c r="C75" s="12" t="s">
        <v>127</v>
      </c>
      <c r="D75" s="15">
        <v>42359.0</v>
      </c>
      <c r="E75" s="16">
        <v>20.0</v>
      </c>
      <c r="F75" s="16">
        <v>20.0</v>
      </c>
      <c r="G75" s="21">
        <f t="shared" si="19"/>
        <v>1</v>
      </c>
    </row>
    <row r="76">
      <c r="B76" s="12" t="s">
        <v>128</v>
      </c>
      <c r="C76" s="12" t="s">
        <v>129</v>
      </c>
      <c r="D76" s="15">
        <v>42359.0</v>
      </c>
      <c r="E76" s="16">
        <v>20.0</v>
      </c>
      <c r="F76" s="16">
        <v>20.0</v>
      </c>
      <c r="G76" s="21">
        <f t="shared" si="19"/>
        <v>1</v>
      </c>
    </row>
    <row r="77">
      <c r="B77" s="10" t="s">
        <v>130</v>
      </c>
      <c r="D77" s="13"/>
    </row>
    <row r="78">
      <c r="B78" s="12" t="s">
        <v>131</v>
      </c>
      <c r="D78" s="15">
        <v>42360.0</v>
      </c>
      <c r="E78" s="16">
        <v>90.0</v>
      </c>
      <c r="F78" s="16">
        <v>0.0</v>
      </c>
      <c r="G78" s="21">
        <f t="shared" ref="G78:G79" si="20">F78/E78</f>
        <v>0</v>
      </c>
    </row>
    <row r="79">
      <c r="B79" s="12" t="s">
        <v>132</v>
      </c>
      <c r="C79" s="22" t="s">
        <v>133</v>
      </c>
      <c r="D79" s="15">
        <v>42360.0</v>
      </c>
      <c r="E79" s="16">
        <v>90.0</v>
      </c>
      <c r="F79" s="16">
        <v>0.0</v>
      </c>
      <c r="G79" s="21">
        <f t="shared" si="20"/>
        <v>0</v>
      </c>
    </row>
    <row r="80">
      <c r="D80" s="13"/>
    </row>
    <row r="81">
      <c r="B81" s="10" t="s">
        <v>134</v>
      </c>
      <c r="C81" s="10" t="s">
        <v>135</v>
      </c>
      <c r="D81" s="10" t="s">
        <v>136</v>
      </c>
    </row>
    <row r="82">
      <c r="B82" s="23" t="s">
        <v>23</v>
      </c>
      <c r="C82" s="22" t="s">
        <v>137</v>
      </c>
      <c r="D82" s="12" t="s">
        <v>138</v>
      </c>
    </row>
    <row r="83">
      <c r="B83" s="23" t="s">
        <v>139</v>
      </c>
      <c r="C83" s="22" t="s">
        <v>140</v>
      </c>
      <c r="D83" s="12" t="s">
        <v>138</v>
      </c>
    </row>
    <row r="84">
      <c r="B84" s="23" t="s">
        <v>141</v>
      </c>
      <c r="C84" s="22" t="s">
        <v>142</v>
      </c>
      <c r="D84" s="12" t="s">
        <v>138</v>
      </c>
    </row>
    <row r="85">
      <c r="B85" s="23" t="s">
        <v>143</v>
      </c>
      <c r="C85" s="22" t="s">
        <v>144</v>
      </c>
      <c r="D85" s="12" t="s">
        <v>145</v>
      </c>
    </row>
    <row r="86">
      <c r="B86" s="23" t="s">
        <v>146</v>
      </c>
      <c r="C86" s="22" t="s">
        <v>147</v>
      </c>
      <c r="D86" s="12" t="s">
        <v>145</v>
      </c>
    </row>
    <row r="87">
      <c r="B87" s="23" t="s">
        <v>148</v>
      </c>
      <c r="C87" s="22" t="s">
        <v>149</v>
      </c>
      <c r="D87" s="12" t="s">
        <v>138</v>
      </c>
    </row>
    <row r="88">
      <c r="B88" s="23" t="s">
        <v>150</v>
      </c>
      <c r="C88" s="22" t="s">
        <v>151</v>
      </c>
      <c r="D88" s="12" t="s">
        <v>138</v>
      </c>
    </row>
    <row r="89">
      <c r="B89" s="23" t="s">
        <v>152</v>
      </c>
      <c r="C89" s="22" t="s">
        <v>153</v>
      </c>
      <c r="D89" s="12" t="s">
        <v>154</v>
      </c>
    </row>
    <row r="90">
      <c r="B90" s="24" t="s">
        <v>155</v>
      </c>
      <c r="C90" s="22" t="s">
        <v>156</v>
      </c>
      <c r="D90" s="12" t="s">
        <v>154</v>
      </c>
    </row>
    <row r="91">
      <c r="B91" s="23" t="s">
        <v>28</v>
      </c>
      <c r="C91" s="22" t="s">
        <v>157</v>
      </c>
      <c r="D91" s="12" t="s">
        <v>154</v>
      </c>
    </row>
    <row r="92">
      <c r="B92" s="23" t="s">
        <v>158</v>
      </c>
      <c r="C92" s="22" t="s">
        <v>159</v>
      </c>
      <c r="D92" s="12" t="s">
        <v>154</v>
      </c>
    </row>
    <row r="93">
      <c r="B93" s="23" t="s">
        <v>160</v>
      </c>
      <c r="C93" s="22" t="s">
        <v>161</v>
      </c>
      <c r="D93" s="12" t="s">
        <v>154</v>
      </c>
    </row>
    <row r="94">
      <c r="B94" s="23" t="s">
        <v>162</v>
      </c>
      <c r="C94" s="22" t="s">
        <v>163</v>
      </c>
      <c r="D94" s="12" t="s">
        <v>138</v>
      </c>
    </row>
    <row r="95">
      <c r="B95" s="23" t="s">
        <v>164</v>
      </c>
      <c r="C95" s="22" t="s">
        <v>165</v>
      </c>
      <c r="D95" s="12" t="s">
        <v>138</v>
      </c>
    </row>
    <row r="96">
      <c r="B96" s="10"/>
    </row>
    <row r="97">
      <c r="B97" s="10" t="s">
        <v>166</v>
      </c>
    </row>
    <row r="98">
      <c r="B98" s="12" t="s">
        <v>167</v>
      </c>
      <c r="C98" s="25" t="s">
        <v>168</v>
      </c>
    </row>
    <row r="100">
      <c r="B100" s="10" t="s">
        <v>169</v>
      </c>
      <c r="C100" s="22" t="s">
        <v>170</v>
      </c>
    </row>
    <row r="102">
      <c r="B102" s="10" t="s">
        <v>171</v>
      </c>
    </row>
    <row r="103">
      <c r="B103" s="12" t="s">
        <v>172</v>
      </c>
    </row>
  </sheetData>
  <hyperlinks>
    <hyperlink r:id="rId1" ref="C52"/>
    <hyperlink r:id="rId2" ref="C53"/>
    <hyperlink r:id="rId3" ref="C56"/>
    <hyperlink r:id="rId4" ref="C57"/>
    <hyperlink r:id="rId5" ref="C64"/>
    <hyperlink r:id="rId6" ref="C79"/>
    <hyperlink r:id="rId7" ref="C82"/>
    <hyperlink r:id="rId8" ref="C83"/>
    <hyperlink r:id="rId9" ref="C84"/>
    <hyperlink r:id="rId10" ref="C85"/>
    <hyperlink r:id="rId11" ref="C86"/>
    <hyperlink r:id="rId12" ref="C87"/>
    <hyperlink r:id="rId13" ref="C88"/>
    <hyperlink r:id="rId14" ref="C89"/>
    <hyperlink r:id="rId15" ref="C90"/>
    <hyperlink r:id="rId16" ref="C91"/>
    <hyperlink r:id="rId17" ref="C92"/>
    <hyperlink r:id="rId18" ref="C93"/>
    <hyperlink r:id="rId19" ref="C94"/>
    <hyperlink r:id="rId20" ref="C95"/>
    <hyperlink r:id="rId21" ref="C98"/>
    <hyperlink r:id="rId22" ref="C100"/>
  </hyperlinks>
  <drawing r:id="rId23"/>
</worksheet>
</file>