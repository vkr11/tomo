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<sst xmlns="http://schemas.openxmlformats.org/spreadsheetml/2006/main" count="133" uniqueCount="119">
  <si>
    <t>Population</t>
  </si>
  <si>
    <t>Technical</t>
  </si>
  <si>
    <t>Revenues</t>
  </si>
  <si>
    <t>Subscribers</t>
  </si>
  <si>
    <t>MAU</t>
  </si>
  <si>
    <t>US population</t>
  </si>
  <si>
    <t>300M</t>
  </si>
  <si>
    <t xml:space="preserve">AWS S3 Standard cost: 
</t>
  </si>
  <si>
    <t>$0.023 / GB / month</t>
  </si>
  <si>
    <t>Google</t>
  </si>
  <si>
    <t>160B</t>
  </si>
  <si>
    <t>Android</t>
  </si>
  <si>
    <t>2B</t>
  </si>
  <si>
    <t>75% mkt share</t>
  </si>
  <si>
    <t>US households: 100M</t>
  </si>
  <si>
    <t>100M</t>
  </si>
  <si>
    <t>AWS Network transfer cost</t>
  </si>
  <si>
    <t>$0.04/GB</t>
  </si>
  <si>
    <t>Google Ad revenue</t>
  </si>
  <si>
    <t>130B</t>
  </si>
  <si>
    <t>Youtube</t>
  </si>
  <si>
    <t>Average people per household in the US</t>
  </si>
  <si>
    <t>Average file size for a 60-min 720p movie</t>
  </si>
  <si>
    <t>2.4 GB</t>
  </si>
  <si>
    <t>Facebook</t>
  </si>
  <si>
    <t>70 B</t>
  </si>
  <si>
    <t>Gmail</t>
  </si>
  <si>
    <t>1.5B</t>
  </si>
  <si>
    <t>20% mkt share</t>
  </si>
  <si>
    <t>California population</t>
  </si>
  <si>
    <t>40M</t>
  </si>
  <si>
    <t>Average file size for a 60-min 1080p movie</t>
  </si>
  <si>
    <t>3.6 GB</t>
  </si>
  <si>
    <t>Apple</t>
  </si>
  <si>
    <t>260 B</t>
  </si>
  <si>
    <t>Photos</t>
  </si>
  <si>
    <t>1B</t>
  </si>
  <si>
    <t>NYC population</t>
  </si>
  <si>
    <t>8.5M</t>
  </si>
  <si>
    <t>Average file size for a 60-min 4K movie</t>
  </si>
  <si>
    <t>10.2 GB</t>
  </si>
  <si>
    <t>Amazon</t>
  </si>
  <si>
    <t>280 B</t>
  </si>
  <si>
    <t>Chrome</t>
  </si>
  <si>
    <t>NY State</t>
  </si>
  <si>
    <t>20M</t>
  </si>
  <si>
    <t>Average file size for a smartphone camera picture</t>
  </si>
  <si>
    <t>3-5MB</t>
  </si>
  <si>
    <t>Netflix</t>
  </si>
  <si>
    <t>20 B</t>
  </si>
  <si>
    <t>Google Play</t>
  </si>
  <si>
    <t>World population</t>
  </si>
  <si>
    <t>7.5B</t>
  </si>
  <si>
    <t>Average CTR for a search ad</t>
  </si>
  <si>
    <t>Dropbox</t>
  </si>
  <si>
    <t>1.6B</t>
  </si>
  <si>
    <t>Google Map</t>
  </si>
  <si>
    <t>Size of continental US</t>
  </si>
  <si>
    <t>3M Sq miles</t>
  </si>
  <si>
    <t>Average landing page conversion rate</t>
  </si>
  <si>
    <t>AirBnB</t>
  </si>
  <si>
    <t>3 B</t>
  </si>
  <si>
    <t>Google Drive</t>
  </si>
  <si>
    <t>Life expectancy</t>
  </si>
  <si>
    <t>Average WiFi bandwidth</t>
  </si>
  <si>
    <t>10Mbps</t>
  </si>
  <si>
    <t>2.6 B</t>
  </si>
  <si>
    <t xml:space="preserve">Median household income: 
</t>
  </si>
  <si>
    <t>Cost of iPhone X</t>
  </si>
  <si>
    <t>Messenger</t>
  </si>
  <si>
    <t>1.3B</t>
  </si>
  <si>
    <t>Weight of an average car</t>
  </si>
  <si>
    <t>4000lbs</t>
  </si>
  <si>
    <t>Cost of Google Pixel 2</t>
  </si>
  <si>
    <t>Whatsapp</t>
  </si>
  <si>
    <t>Population of Bay Area</t>
  </si>
  <si>
    <t>8M</t>
  </si>
  <si>
    <t>Cost of Amazon Echo (2nd Gen)</t>
  </si>
  <si>
    <t>Instagram</t>
  </si>
  <si>
    <t>Population of SF</t>
  </si>
  <si>
    <t>800K</t>
  </si>
  <si>
    <t>167M</t>
  </si>
  <si>
    <t>Population of SJC</t>
  </si>
  <si>
    <t>1M</t>
  </si>
  <si>
    <t>Twitter</t>
  </si>
  <si>
    <t>Area of SF</t>
  </si>
  <si>
    <t>46 sqmiles</t>
  </si>
  <si>
    <t>Quantity</t>
  </si>
  <si>
    <t>Metric Unit</t>
  </si>
  <si>
    <t>US equivalent</t>
  </si>
  <si>
    <t>Length</t>
  </si>
  <si>
    <t>1 meter</t>
  </si>
  <si>
    <t>3 ft</t>
  </si>
  <si>
    <t>1 km</t>
  </si>
  <si>
    <t>0.6 miles</t>
  </si>
  <si>
    <t>1cm(0.01m)</t>
  </si>
  <si>
    <t>0.4 inch</t>
  </si>
  <si>
    <t>Volume</t>
  </si>
  <si>
    <t>1liter</t>
  </si>
  <si>
    <t>1 quart</t>
  </si>
  <si>
    <t>Mass</t>
  </si>
  <si>
    <t>1kg</t>
  </si>
  <si>
    <t>2.2pounds</t>
  </si>
  <si>
    <t>1000kg</t>
  </si>
  <si>
    <t>1 ton</t>
  </si>
  <si>
    <t>weight</t>
  </si>
  <si>
    <t>Speed</t>
  </si>
  <si>
    <t>1m/s (meter per second)</t>
  </si>
  <si>
    <t>2.2 mph miles per hour</t>
  </si>
  <si>
    <t>Time</t>
  </si>
  <si>
    <t>Hours in year</t>
  </si>
  <si>
    <t>Minutes in year</t>
  </si>
  <si>
    <t>Seconds in year</t>
  </si>
  <si>
    <t>(Pie)*10,000,000</t>
  </si>
  <si>
    <t>seconds in an hour</t>
  </si>
  <si>
    <t>4k</t>
  </si>
  <si>
    <t>seconds in a day</t>
  </si>
  <si>
    <t>100k</t>
  </si>
  <si>
    <t>mins in a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</si>
</sst>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rgb="FF333333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right"/>
    </xf>
    <xf borderId="0" fillId="0" fontId="2" numFmtId="0" xfId="0" applyFont="1"/>
    <xf borderId="0" fillId="2" fontId="1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3" numFmtId="0" xfId="0" applyAlignment="1" applyFont="1">
      <alignment readingOrder="0" shrinkToFit="0" wrapText="1"/>
    </xf>
    <xf borderId="0" fillId="0" fontId="4" numFmtId="10" xfId="0" applyAlignment="1" applyFont="1" applyNumberFormat="1">
      <alignment horizontal="right" readingOrder="0"/>
    </xf>
    <xf borderId="0" fillId="0" fontId="2" numFmtId="3" xfId="0" applyAlignment="1" applyFont="1" applyNumberFormat="1">
      <alignment horizontal="right" readingOrder="0"/>
    </xf>
    <xf borderId="0" fillId="0" fontId="4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2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8.13"/>
    <col customWidth="1" min="3" max="3" width="16.5"/>
    <col customWidth="1" min="4" max="4" width="26.13"/>
    <col customWidth="1" min="5" max="5" width="14.13"/>
    <col customWidth="1" min="6" max="6" width="4.38"/>
    <col customWidth="1" min="7" max="7" width="16.88"/>
    <col customWidth="1" min="8" max="8" width="6.75"/>
    <col customWidth="1" min="9" max="9" width="5.63"/>
    <col customWidth="1" min="11" max="11" width="6.88"/>
    <col customWidth="1" min="12" max="12" width="11.0"/>
    <col customWidth="1" min="14" max="14" width="21.63"/>
  </cols>
  <sheetData>
    <row r="1">
      <c r="A1" s="1" t="s">
        <v>0</v>
      </c>
      <c r="B1" s="2"/>
      <c r="C1" s="3"/>
      <c r="D1" s="1" t="s">
        <v>1</v>
      </c>
      <c r="E1" s="4"/>
      <c r="F1" s="3"/>
      <c r="G1" s="1" t="s">
        <v>2</v>
      </c>
      <c r="H1" s="4"/>
      <c r="I1" s="3"/>
      <c r="J1" s="1" t="s">
        <v>3</v>
      </c>
      <c r="K1" s="1" t="s">
        <v>4</v>
      </c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" t="s">
        <v>5</v>
      </c>
      <c r="B2" s="6" t="s">
        <v>6</v>
      </c>
      <c r="C2" s="3"/>
      <c r="D2" s="5" t="s">
        <v>7</v>
      </c>
      <c r="E2" s="6" t="s">
        <v>8</v>
      </c>
      <c r="F2" s="3"/>
      <c r="G2" s="7" t="s">
        <v>9</v>
      </c>
      <c r="H2" s="7" t="s">
        <v>10</v>
      </c>
      <c r="I2" s="3"/>
      <c r="J2" s="7" t="s">
        <v>11</v>
      </c>
      <c r="K2" s="7" t="s">
        <v>12</v>
      </c>
      <c r="L2" s="7" t="s">
        <v>13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14</v>
      </c>
      <c r="B3" s="6" t="s">
        <v>15</v>
      </c>
      <c r="C3" s="3"/>
      <c r="D3" s="5" t="s">
        <v>16</v>
      </c>
      <c r="E3" s="8" t="s">
        <v>17</v>
      </c>
      <c r="F3" s="3"/>
      <c r="G3" s="7" t="s">
        <v>18</v>
      </c>
      <c r="H3" s="7" t="s">
        <v>19</v>
      </c>
      <c r="I3" s="3"/>
      <c r="J3" s="7" t="s">
        <v>20</v>
      </c>
      <c r="K3" s="7" t="s">
        <v>12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21</v>
      </c>
      <c r="B4" s="6">
        <v>3.0</v>
      </c>
      <c r="C4" s="3"/>
      <c r="D4" s="5" t="s">
        <v>22</v>
      </c>
      <c r="E4" s="8" t="s">
        <v>23</v>
      </c>
      <c r="F4" s="3"/>
      <c r="G4" s="7" t="s">
        <v>24</v>
      </c>
      <c r="H4" s="7" t="s">
        <v>25</v>
      </c>
      <c r="I4" s="3"/>
      <c r="J4" s="7" t="s">
        <v>26</v>
      </c>
      <c r="K4" s="7" t="s">
        <v>27</v>
      </c>
      <c r="L4" s="7" t="s">
        <v>28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29</v>
      </c>
      <c r="B5" s="6" t="s">
        <v>30</v>
      </c>
      <c r="C5" s="3"/>
      <c r="D5" s="5" t="s">
        <v>31</v>
      </c>
      <c r="E5" s="8" t="s">
        <v>32</v>
      </c>
      <c r="F5" s="3"/>
      <c r="G5" s="7" t="s">
        <v>33</v>
      </c>
      <c r="H5" s="7" t="s">
        <v>34</v>
      </c>
      <c r="I5" s="3"/>
      <c r="J5" s="7" t="s">
        <v>35</v>
      </c>
      <c r="K5" s="7" t="s">
        <v>36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37</v>
      </c>
      <c r="B6" s="6" t="s">
        <v>38</v>
      </c>
      <c r="C6" s="3"/>
      <c r="D6" s="5" t="s">
        <v>39</v>
      </c>
      <c r="E6" s="8" t="s">
        <v>40</v>
      </c>
      <c r="F6" s="3"/>
      <c r="G6" s="7" t="s">
        <v>41</v>
      </c>
      <c r="H6" s="7" t="s">
        <v>42</v>
      </c>
      <c r="I6" s="3"/>
      <c r="J6" s="7" t="s">
        <v>43</v>
      </c>
      <c r="K6" s="7" t="s">
        <v>36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44</v>
      </c>
      <c r="B7" s="6" t="s">
        <v>45</v>
      </c>
      <c r="C7" s="3"/>
      <c r="D7" s="5" t="s">
        <v>46</v>
      </c>
      <c r="E7" s="8" t="s">
        <v>47</v>
      </c>
      <c r="F7" s="3"/>
      <c r="G7" s="7" t="s">
        <v>48</v>
      </c>
      <c r="H7" s="7" t="s">
        <v>49</v>
      </c>
      <c r="I7" s="3"/>
      <c r="J7" s="7" t="s">
        <v>50</v>
      </c>
      <c r="K7" s="7" t="s">
        <v>36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51</v>
      </c>
      <c r="B8" s="6" t="s">
        <v>52</v>
      </c>
      <c r="C8" s="3"/>
      <c r="D8" s="5" t="s">
        <v>53</v>
      </c>
      <c r="E8" s="10">
        <v>0.0191</v>
      </c>
      <c r="F8" s="3"/>
      <c r="G8" s="7" t="s">
        <v>54</v>
      </c>
      <c r="H8" s="7" t="s">
        <v>55</v>
      </c>
      <c r="I8" s="3"/>
      <c r="J8" s="7" t="s">
        <v>56</v>
      </c>
      <c r="K8" s="7" t="s">
        <v>36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57</v>
      </c>
      <c r="B9" s="6" t="s">
        <v>58</v>
      </c>
      <c r="C9" s="3"/>
      <c r="D9" s="5" t="s">
        <v>59</v>
      </c>
      <c r="E9" s="10">
        <v>0.0235</v>
      </c>
      <c r="F9" s="3"/>
      <c r="G9" s="7" t="s">
        <v>60</v>
      </c>
      <c r="H9" s="7" t="s">
        <v>61</v>
      </c>
      <c r="I9" s="3"/>
      <c r="J9" s="7" t="s">
        <v>62</v>
      </c>
      <c r="K9" s="7" t="s">
        <v>36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63</v>
      </c>
      <c r="B10" s="6">
        <v>80.0</v>
      </c>
      <c r="C10" s="3"/>
      <c r="D10" s="5" t="s">
        <v>64</v>
      </c>
      <c r="E10" s="8" t="s">
        <v>65</v>
      </c>
      <c r="F10" s="3"/>
      <c r="I10" s="3"/>
      <c r="J10" s="7" t="s">
        <v>24</v>
      </c>
      <c r="K10" s="7" t="s">
        <v>66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5" t="s">
        <v>67</v>
      </c>
      <c r="B11" s="11">
        <v>50000.0</v>
      </c>
      <c r="C11" s="3"/>
      <c r="D11" s="5" t="s">
        <v>68</v>
      </c>
      <c r="E11" s="12">
        <v>999.0</v>
      </c>
      <c r="F11" s="3"/>
      <c r="I11" s="3"/>
      <c r="J11" s="7" t="s">
        <v>69</v>
      </c>
      <c r="K11" s="7" t="s">
        <v>70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71</v>
      </c>
      <c r="B12" s="6" t="s">
        <v>72</v>
      </c>
      <c r="C12" s="3"/>
      <c r="D12" s="5" t="s">
        <v>73</v>
      </c>
      <c r="E12" s="13">
        <v>650.0</v>
      </c>
      <c r="F12" s="3"/>
      <c r="G12" s="3"/>
      <c r="H12" s="3"/>
      <c r="I12" s="3"/>
      <c r="J12" s="7" t="s">
        <v>74</v>
      </c>
      <c r="K12" s="7" t="s">
        <v>12</v>
      </c>
      <c r="L12" s="7" t="s">
        <v>36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75</v>
      </c>
      <c r="B13" s="6" t="s">
        <v>76</v>
      </c>
      <c r="C13" s="3"/>
      <c r="D13" s="5" t="s">
        <v>77</v>
      </c>
      <c r="E13" s="13">
        <v>85.0</v>
      </c>
      <c r="F13" s="3"/>
      <c r="G13" s="3"/>
      <c r="H13" s="3"/>
      <c r="I13" s="3"/>
      <c r="J13" s="7" t="s">
        <v>78</v>
      </c>
      <c r="K13" s="7" t="s">
        <v>36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7" t="s">
        <v>79</v>
      </c>
      <c r="B14" s="6" t="s">
        <v>80</v>
      </c>
      <c r="C14" s="3"/>
      <c r="F14" s="3"/>
      <c r="G14" s="3"/>
      <c r="H14" s="3"/>
      <c r="I14" s="3"/>
      <c r="J14" s="7" t="s">
        <v>48</v>
      </c>
      <c r="K14" s="7" t="s">
        <v>81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82</v>
      </c>
      <c r="B15" s="6" t="s">
        <v>83</v>
      </c>
      <c r="C15" s="3"/>
      <c r="F15" s="3"/>
      <c r="G15" s="3"/>
      <c r="H15" s="3"/>
      <c r="I15" s="3"/>
      <c r="J15" s="7" t="s">
        <v>84</v>
      </c>
      <c r="K15" s="7" t="s">
        <v>6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85</v>
      </c>
      <c r="B16" s="6" t="s">
        <v>86</v>
      </c>
      <c r="C16" s="3"/>
      <c r="F16" s="3"/>
      <c r="G16" s="3"/>
      <c r="H16" s="3"/>
      <c r="I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C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C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87</v>
      </c>
      <c r="B20" s="14" t="s">
        <v>88</v>
      </c>
      <c r="C20" s="14" t="s">
        <v>89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 t="s">
        <v>90</v>
      </c>
      <c r="B21" s="6" t="s">
        <v>91</v>
      </c>
      <c r="C21" s="6" t="s">
        <v>92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 t="s">
        <v>90</v>
      </c>
      <c r="B22" s="6" t="s">
        <v>93</v>
      </c>
      <c r="C22" s="6" t="s">
        <v>94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 t="s">
        <v>90</v>
      </c>
      <c r="B23" s="6" t="s">
        <v>95</v>
      </c>
      <c r="C23" s="6" t="s">
        <v>96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 t="s">
        <v>97</v>
      </c>
      <c r="B24" s="6" t="s">
        <v>98</v>
      </c>
      <c r="C24" s="6" t="s">
        <v>99</v>
      </c>
      <c r="D24" s="3"/>
      <c r="E24" s="3"/>
      <c r="F24" s="3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 t="s">
        <v>100</v>
      </c>
      <c r="B25" s="6" t="s">
        <v>101</v>
      </c>
      <c r="C25" s="6" t="s">
        <v>102</v>
      </c>
      <c r="D25" s="3"/>
      <c r="E25" s="3"/>
      <c r="F25" s="3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 t="s">
        <v>100</v>
      </c>
      <c r="B26" s="6" t="s">
        <v>103</v>
      </c>
      <c r="C26" s="6" t="s">
        <v>104</v>
      </c>
      <c r="D26" s="3"/>
      <c r="E26" s="3"/>
      <c r="F26" s="3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 t="s">
        <v>105</v>
      </c>
      <c r="B27" s="15"/>
      <c r="C27" s="15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 t="s">
        <v>106</v>
      </c>
      <c r="B28" s="6" t="s">
        <v>107</v>
      </c>
      <c r="C28" s="6" t="s">
        <v>108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 t="s">
        <v>109</v>
      </c>
      <c r="B29" s="2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 t="s">
        <v>110</v>
      </c>
      <c r="B30" s="6">
        <v>9000.0</v>
      </c>
      <c r="C30" s="3">
        <f>24*365</f>
        <v>8760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 t="s">
        <v>111</v>
      </c>
      <c r="B31" s="11">
        <v>500000.0</v>
      </c>
      <c r="C31" s="3">
        <f>60*C30</f>
        <v>525600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 t="s">
        <v>112</v>
      </c>
      <c r="B32" s="6" t="s">
        <v>113</v>
      </c>
      <c r="C32" s="3">
        <f>C31*60</f>
        <v>31536000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idden="1">
      <c r="A33" s="3"/>
      <c r="B33" s="1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idden="1">
      <c r="A34" s="7" t="s">
        <v>114</v>
      </c>
      <c r="B34" s="15">
        <f>60*60</f>
        <v>3600</v>
      </c>
      <c r="C34" s="7" t="s">
        <v>115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 t="s">
        <v>116</v>
      </c>
      <c r="B35" s="15">
        <f>B34*24</f>
        <v>86400</v>
      </c>
      <c r="C35" s="7" t="s">
        <v>117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 t="s">
        <v>118</v>
      </c>
      <c r="B36" s="15">
        <f>24*60</f>
        <v>1440</v>
      </c>
      <c r="C36" s="16">
        <v>1500.0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1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1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1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1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1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1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1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1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1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1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1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1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1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1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1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1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1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1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1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1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1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1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1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1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1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1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1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1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1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1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1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15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1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15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15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15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1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15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15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15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15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15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15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15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15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15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15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15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1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15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15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1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15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15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1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1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15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1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15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1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1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1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15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1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15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15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1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1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1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1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1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1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1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1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1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1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1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1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1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1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1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1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1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1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1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1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1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1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1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1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1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1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1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1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1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1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1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1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1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1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1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1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1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1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1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1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1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1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1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1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1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1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1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1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1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1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1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1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15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15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1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15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15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1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1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1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1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15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1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1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15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15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1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15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1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1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1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15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1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15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1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1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15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15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1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15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15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1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1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15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1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15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1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1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15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15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1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1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1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1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1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1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1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15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1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1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15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1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1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15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1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1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1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1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1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1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1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1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15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15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1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15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15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1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1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15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1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15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1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1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15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15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1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15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15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1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1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1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1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15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1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1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15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15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1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15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15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1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1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15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1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15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1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1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15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15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1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15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15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1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1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15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1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15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1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1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15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15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1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15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15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1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1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15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1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15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1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1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15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15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1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15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15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1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1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15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1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15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1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1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15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15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1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15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15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1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1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15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1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15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15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1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15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15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1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15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15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1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15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15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1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15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15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15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15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15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1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15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15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1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1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15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1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15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15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1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15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15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1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15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15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15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15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15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15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15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1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15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15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15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1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15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15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15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1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15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15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15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1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15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15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15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1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15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15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15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1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15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15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15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1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15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15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15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1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15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15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1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1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15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1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15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1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1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1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15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1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15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15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1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1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15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1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15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1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1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15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15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1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15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15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1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1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15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1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15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1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1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15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15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1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15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15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1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1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15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1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15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1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1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15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15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1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15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15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1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1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15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1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15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1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1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15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15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1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15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15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1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1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15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1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15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1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1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15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15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1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15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15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1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1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15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1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15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1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1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15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15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1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15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15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1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1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15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1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15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1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1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15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15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1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15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15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1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1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15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1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15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1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1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15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15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1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15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15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1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1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15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1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15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1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1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15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15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1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15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15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1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1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15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1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15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1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1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15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15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1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15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15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1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1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1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1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15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1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1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15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15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1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15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15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1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1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15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1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15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1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1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15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15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1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15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15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1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1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15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1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15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1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1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15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15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1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15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15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1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1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1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1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15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1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1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15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15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1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15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15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1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1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15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1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15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1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1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15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15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1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15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15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1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1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15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1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15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1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1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15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15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1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15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15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1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1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15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1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15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1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1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15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15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1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15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15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1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1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15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1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15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1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1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15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15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1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15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15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1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1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15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1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15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1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1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15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15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1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15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1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1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1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15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1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15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1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1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15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15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1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15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15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1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1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1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1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15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1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1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15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15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1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15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15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1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1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15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1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15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1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1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15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1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1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15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15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1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1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1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1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15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1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1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15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15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1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15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15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1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1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15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1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15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1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1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15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15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1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15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15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1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1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15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1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15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1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1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15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1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1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15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15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1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1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1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1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15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1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1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15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15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1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15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15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1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1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15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1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15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1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1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1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1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1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1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1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1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1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1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1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1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1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1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1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1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1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1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1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1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1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1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1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1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1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1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1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1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1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1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1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1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1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1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1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1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1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1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1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1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1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1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1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1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1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1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1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1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1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1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1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1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1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1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1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1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1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1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1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1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1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1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1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1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1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1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1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1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1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1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1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1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1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1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1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1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1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1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1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1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1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1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1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1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1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1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1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1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1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1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1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1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1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1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1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1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1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1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1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1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1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1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1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1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1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1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1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1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1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1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1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1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1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1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1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1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1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1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1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1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1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1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1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1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1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1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1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1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1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1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1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1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1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1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1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1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1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1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1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1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1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1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1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1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1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1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1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1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1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1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1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1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1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1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1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1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1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1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15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15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1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15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15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1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1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15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1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15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1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1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15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15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1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15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15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1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1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15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1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15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1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1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15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15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1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15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15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1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1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15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1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15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1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1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15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1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1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1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1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1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1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1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1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1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1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1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1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1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1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1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1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1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1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1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1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1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1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1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1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1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1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1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1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1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1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1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1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1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1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1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1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1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1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1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1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1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1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1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1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1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1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1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1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1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1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1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1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1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1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1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1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1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1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1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1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1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1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1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1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1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1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1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1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1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1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1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1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1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1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15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1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1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1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1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1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15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1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1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15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15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1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15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1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1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1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15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1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15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1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</sheetData>
  <drawing r:id="rId1"/>
</worksheet>
</file>